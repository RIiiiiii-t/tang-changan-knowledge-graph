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753326012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5d4e1cbc3bc4741"/>
    <x:sheet xmlns:r="http://schemas.openxmlformats.org/officeDocument/2006/relationships" name="实体表" sheetId="2" r:id="Rc22cd3964f674ce0"/>
    <x:sheet xmlns:r="http://schemas.openxmlformats.org/officeDocument/2006/relationships" name="关系表" sheetId="3" r:id="R3dbbeb0444a244a4"/>
    <x:sheet xmlns:r="http://schemas.openxmlformats.org/officeDocument/2006/relationships" name="来源表" sheetId="4" r:id="Rb419abf2e7e2480d"/>
    <x:sheet xmlns:r="http://schemas.openxmlformats.org/officeDocument/2006/relationships" name="史料片段" sheetId="5" r:id="R5452fe00bc844df2"/>
    <x:sheet xmlns:r="http://schemas.openxmlformats.org/officeDocument/2006/relationships" name="代码对照" sheetId="6" r:id="R56cea44c18894316"/>
    <x:sheet xmlns:r="http://schemas.openxmlformats.org/officeDocument/2006/relationships" name="坊功能表" sheetId="7" r:id="Rdedf70ffa0724beb"/>
    <x:sheet xmlns:r="http://schemas.openxmlformats.org/officeDocument/2006/relationships" name="道路分级表" sheetId="8" r:id="R0aa0c45aa34343c9"/>
    <x:sheet xmlns:r="http://schemas.openxmlformats.org/officeDocument/2006/relationships" name="水渠表" sheetId="9" r:id="Rb02ce17a6a9b4814"/>
    <x:sheet xmlns:r="http://schemas.openxmlformats.org/officeDocument/2006/relationships" name="城门表" sheetId="10" r:id="R62a2ed6be4d24092"/>
    <x:sheet xmlns:r="http://schemas.openxmlformats.org/officeDocument/2006/relationships" name="尺度关系表" sheetId="11" r:id="Re36c3a74cffa47af"/>
    <x:sheet xmlns:r="http://schemas.openxmlformats.org/officeDocument/2006/relationships" name="功能分区规则" sheetId="12" r:id="R94567741f7584708"/>
    <x:sheet xmlns:r="http://schemas.openxmlformats.org/officeDocument/2006/relationships" name="坊间空间关系" sheetId="13" r:id="R08ffa50f3c294a3e"/>
    <x:sheet xmlns:r="http://schemas.openxmlformats.org/officeDocument/2006/relationships" name="转换规则" sheetId="14" r:id="Rd6a5f10afe8e45ca"/>
    <x:sheet xmlns:r="http://schemas.openxmlformats.org/officeDocument/2006/relationships" name="坐标基准" sheetId="15" r:id="R562e479869ce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</x:numFmts>
  <x:fonts count="3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</x:fonts>
  <x:fills count="5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</x:fills>
  <x:borders count="45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241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fda7a9bc04597" /><Relationship Type="http://schemas.openxmlformats.org/officeDocument/2006/relationships/theme" Target="/xl/theme/theme1.xml" Id="R7c99469ff2fc4c71" /><Relationship Type="http://schemas.openxmlformats.org/officeDocument/2006/relationships/sharedStrings" Target="/xl/sharedStrings.xml" Id="Rf7edaa682f774a05" /><Relationship Type="http://schemas.openxmlformats.org/officeDocument/2006/relationships/worksheet" Target="/xl/worksheets/sheet1.xml" Id="Rd5d4e1cbc3bc4741" /><Relationship Type="http://schemas.openxmlformats.org/officeDocument/2006/relationships/worksheet" Target="/xl/worksheets/sheet2.xml" Id="Rc22cd3964f674ce0" /><Relationship Type="http://schemas.openxmlformats.org/officeDocument/2006/relationships/worksheet" Target="/xl/worksheets/sheet3.xml" Id="R3dbbeb0444a244a4" /><Relationship Type="http://schemas.openxmlformats.org/officeDocument/2006/relationships/worksheet" Target="/xl/worksheets/sheet4.xml" Id="Rb419abf2e7e2480d" /><Relationship Type="http://schemas.openxmlformats.org/officeDocument/2006/relationships/worksheet" Target="/xl/worksheets/sheet5.xml" Id="R5452fe00bc844df2" /><Relationship Type="http://schemas.openxmlformats.org/officeDocument/2006/relationships/worksheet" Target="/xl/worksheets/sheet6.xml" Id="R56cea44c18894316" /><Relationship Type="http://schemas.openxmlformats.org/officeDocument/2006/relationships/worksheet" Target="/xl/worksheets/sheet7.xml" Id="Rdedf70ffa0724beb" /><Relationship Type="http://schemas.openxmlformats.org/officeDocument/2006/relationships/worksheet" Target="/xl/worksheets/sheet8.xml" Id="R0aa0c45aa34343c9" /><Relationship Type="http://schemas.openxmlformats.org/officeDocument/2006/relationships/worksheet" Target="/xl/worksheets/sheet9.xml" Id="Rb02ce17a6a9b4814" /><Relationship Type="http://schemas.openxmlformats.org/officeDocument/2006/relationships/worksheet" Target="/xl/worksheets/sheet10.xml" Id="R62a2ed6be4d24092" /><Relationship Type="http://schemas.openxmlformats.org/officeDocument/2006/relationships/worksheet" Target="/xl/worksheets/sheet11.xml" Id="Re36c3a74cffa47af" /><Relationship Type="http://schemas.openxmlformats.org/officeDocument/2006/relationships/worksheet" Target="/xl/worksheets/sheet12.xml" Id="R94567741f7584708" /><Relationship Type="http://schemas.openxmlformats.org/officeDocument/2006/relationships/worksheet" Target="/xl/worksheets/sheet13.xml" Id="R08ffa50f3c294a3e" /><Relationship Type="http://schemas.openxmlformats.org/officeDocument/2006/relationships/worksheet" Target="/xl/worksheets/sheet14.xml" Id="Rd6a5f10afe8e45ca" /><Relationship Type="http://schemas.openxmlformats.org/officeDocument/2006/relationships/worksheet" Target="/xl/worksheets/sheet15.xml" Id="R562e479869ce4fa0" /></Relationships>
</file>

<file path=xl/tables/table1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447b4fdd5f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86279408ac45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c9a331ff6e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4f320791ba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8" hidden="0" customWidth="1"/>
    <x:col min="2" max="2" width="44" hidden="0" customWidth="1"/>
    <x:col min="3" max="3" width="22" hidden="0" customWidth="1"/>
    <x:col min="4" max="8" width="18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唐长安城知识图谱数据录入模板 · 阶段二 v1（含转换规则）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用途：统一录入通用知识图谱数据、六张核心专题表及两张辅助表。专题数据经“转换规则”自动生成实体和关系；坊间空间关系单独录入后统一进入关系表。所有推导结论必须保留证据及审核状态。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6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坊网格坐标与道路网格序位属于历史复原位置，不等同现代经纬度；必须记录复原图或网格版本。
9. 网格位置须按“坐标基准”表换算，并同时保留grid_reference与original_grid_code；换底图时重新计算，不覆盖旧依据。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按任务分工填写六张核心专题表；需要表达坊与坊的位置时填写“坊间空间关系”。</x:v>
      </x:c>
      <x:c r="C10" s="26" t="str">
        <x:v>六类核心数据与坊间空间关系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审核人员修改 review_status；争议数据保留，不强行合并。</x:v>
      </x:c>
      <x:c r="C12" s="26" t="str">
        <x:v>审核结论</x:v>
      </x:c>
      <x:c r="D12"/>
      <x:c r="E12" s="52"/>
      <x:c r="F12" s="53"/>
      <x:c r="G12" s="53"/>
      <x:c r="H12" s="54"/>
    </x:row>
    <x:row r="14" ht="30" customHeight="1">
      <x:c r="A14" s="57" t="str">
        <x:v>推荐顺序：来源表 → 史料片段 → 六张核心专题表/坊间空间关系 → 人工审核 → 按“转换规则”生成实体表与关系表。不要同时手工重复填写专题表和通用表。</x:v>
      </x:c>
      <x:c r="B14" s="57"/>
      <x:c r="C14" s="57"/>
      <x:c r="D14" s="57"/>
      <x:c r="E14" s="57"/>
      <x:c r="F14" s="57"/>
      <x:c r="G14" s="57"/>
      <x:c r="H14" s="57"/>
    </x:row>
  </x:sheetData>
  <x:mergeCells>
    <x:mergeCell ref="A1:H1"/>
    <x:mergeCell ref="A3:H3"/>
    <x:mergeCell ref="E5:H5"/>
    <x:mergeCell ref="E6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TC-GATE-0001</x:v>
      </x:c>
      <x:c r="B4" s="67" t="str">
        <x:v>明德门</x:v>
      </x:c>
      <x:c r="C4" s="67" t="str">
        <x:v>明德門</x:v>
      </x:c>
      <x:c r="D4" s="67" t="str">
        <x:v>Gate</x:v>
      </x:c>
      <x:c r="E4" s="67" t="str"/>
      <x:c r="F4" s="67" t="str">
        <x:v>外郭城门</x:v>
      </x:c>
      <x:c r="G4" s="67" t="str">
        <x:v>唐</x:v>
      </x:c>
      <x:c r="H4" s="67" t="str">
        <x:v>唐</x:v>
      </x:c>
      <x:c r="I4" s="67" t="str">
        <x:v>唐长安城外郭城正南门</x:v>
      </x:c>
      <x:c r="J4" s="67" t="str">
        <x:v>外郭城南面正中</x:v>
      </x:c>
      <x:c r="K4" s="67" t="str">
        <x:v>TC-REF-0001</x:v>
      </x:c>
      <x:c r="L4" s="67" t="str">
        <x:v>TC-CHUNK-0001</x:v>
      </x:c>
      <x:c r="M4" s="67" t="n">
        <x:v>0.95</x:v>
      </x:c>
      <x:c r="N4" s="67" t="str">
        <x:v>待审核</x:v>
      </x:c>
      <x:c r="O4" s="67" t="str">
        <x:v>正南曰明德門</x:v>
      </x:c>
    </x:row>
    <x:row r="5" ht="28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47b4fdd5f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TC-REL-0001</x:v>
      </x:c>
      <x:c r="B4" s="67" t="str">
        <x:v>TC-ROAD-0001</x:v>
      </x:c>
      <x:c r="C4" s="67" t="str">
        <x:v>朱雀大街</x:v>
      </x:c>
      <x:c r="D4" s="67" t="str">
        <x:v>TC-GATE-0001</x:v>
      </x:c>
      <x:c r="E4" s="67" t="str">
        <x:v>明德门</x:v>
      </x:c>
      <x:c r="F4" s="67" t="str">
        <x:v>CONNECTS_TO</x:v>
      </x:c>
      <x:c r="G4" s="67" t="str">
        <x:v>朱雀大街向南连接明德门</x:v>
      </x:c>
      <x:c r="H4" s="67" t="str">
        <x:v>TC-REF-0001</x:v>
      </x:c>
      <x:c r="I4" s="67" t="str">
        <x:v>TC-CHUNK-0001</x:v>
      </x:c>
      <x:c r="J4" s="67" t="n">
        <x:v>0.95</x:v>
      </x:c>
      <x:c r="K4" s="67" t="str">
        <x:v>唐</x:v>
      </x:c>
      <x:c r="L4" s="67" t="str">
        <x:v>唐</x:v>
      </x:c>
      <x:c r="M4" s="67" t="str">
        <x:v>朱雀門街南出明德門</x:v>
      </x:c>
      <x:c r="N4" s="67" t="str">
        <x:v>史料直述</x:v>
      </x:c>
      <x:c r="O4" s="67" t="str">
        <x:v>待审核</x:v>
      </x:c>
      <x:c r="P4" s="67" t="str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86279408ac45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唐两京城坊考</x:v>
      </x:c>
      <x:c r="C4" s="67" t="str">
        <x:v>古籍</x:v>
      </x:c>
      <x:c r="D4" s="67" t="str">
        <x:v>徐松</x:v>
      </x:c>
      <x:c r="E4" s="67" t="str">
        <x:v>校勘本</x:v>
      </x:c>
      <x:c r="F4" s="67" t="str"/>
      <x:c r="G4" s="67" t="n">
        <x:v>1845</x:v>
      </x:c>
      <x:c r="H4" s="67" t="str">
        <x:v>卷一</x:v>
      </x:c>
      <x:c r="I4" s="67" t="str"/>
      <x:c r="J4" s="67" t="str"/>
      <x:c r="K4" s="67" t="str">
        <x:v>03-原始文献/唐两京城坊考_徐松</x:v>
      </x:c>
      <x:c r="L4" s="67" t="str">
        <x:v>A</x:v>
      </x:c>
      <x:c r="M4" s="67" t="str">
        <x:v>待审核</x:v>
      </x:c>
      <x:c r="N4" s="67" t="str">
        <x:v>城市名称、方位与沿革的基础来源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c9a331ff6e4e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TC-CHUNK-0001</x:v>
      </x:c>
      <x:c r="B4" s="67" t="str">
        <x:v>TC-REF-0001</x:v>
      </x:c>
      <x:c r="C4" s="67" t="str">
        <x:v>正南曰明德門。</x:v>
      </x:c>
      <x:c r="D4" s="67" t="str">
        <x:v>外郭城</x:v>
      </x:c>
      <x:c r="E4" s="67" t="str">
        <x:v>卷一</x:v>
      </x:c>
      <x:c r="F4" s="67" t="str"/>
      <x:c r="G4" s="67" t="str">
        <x:v>TC-GATE-0001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支持明德门名称与方位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f320791ba4b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grid_version</x:v>
      </x:c>
      <x:c r="B76" s="212" t="str">
        <x:v>SENO-8C-V0.1</x:v>
      </x:c>
      <x:c r="C76" s="212" t="str">
        <x:v>妹尾达彦8世纪前半期复原图试行网格</x:v>
      </x:c>
      <x:c r="D76" s="212" t="str">
        <x:v>坐标基准/坊功能表/道路分级表</x:v>
      </x:c>
      <x:c r="E76" s="212" t="str">
        <x:v>逻辑网格；正式发布前核对原书高清图</x:v>
      </x:c>
    </x:row>
    <x:row r="77">
      <x:c r="A77" s="212" t="str">
        <x:v>grid_field</x:v>
      </x:c>
      <x:c r="B77" s="212" t="str">
        <x:v>grid_reference</x:v>
      </x:c>
      <x:c r="C77" s="212" t="str">
        <x:v>底图版本</x:v>
      </x:c>
      <x:c r="D77" s="212" t="str">
        <x:v>坊功能表/道路分级表</x:v>
      </x:c>
      <x:c r="E77" s="212" t="str">
        <x:v>填写稳定版本号，如SENO-8C-V0.1</x:v>
      </x:c>
    </x:row>
    <x:row r="78">
      <x:c r="A78" s="212" t="str">
        <x:v>grid_field</x:v>
      </x:c>
      <x:c r="B78" s="212" t="str">
        <x:v>original_grid_code</x:v>
      </x:c>
      <x:c r="C78" s="212" t="str">
        <x:v>原图格号或编号</x:v>
      </x:c>
      <x:c r="D78" s="212" t="str">
        <x:v>坊功能表/道路分级表</x:v>
      </x:c>
      <x:c r="E78" s="212" t="str">
        <x:v>例如A1；用于重新换算与人工复核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的字段为必填；grid_coordinate格式为(x,y)，x自西向东、y自南向北；同时填写grid_reference和original_grid_code以保留底图依据。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longitude</x:v>
      </x:c>
      <x:c r="P3" s="62" t="str">
        <x:v>latitude</x:v>
      </x:c>
      <x:c r="Q3" s="62" t="str">
        <x:v>crs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 s="196" t="str">
        <x:v>grid_coordinate</x:v>
      </x:c>
      <x:c r="AD3" s="231" t="str">
        <x:v>grid_reference</x:v>
      </x:c>
      <x:c r="AE3" s="231" t="str">
        <x:v>original_grid_code</x:v>
      </x:c>
    </x:row>
    <x:row r="4" ht="42" customHeight="1">
      <x:c r="A4" s="67" t="str">
        <x:v>TC-FANG-0001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TC-ROAD-0001</x:v>
      </x:c>
      <x:c r="K4" s="67" t="str"/>
      <x:c r="L4" s="67" t="str"/>
      <x:c r="M4" s="67" t="str"/>
      <x:c r="N4" s="67" t="str">
        <x:v>位于朱雀门街东侧</x:v>
      </x:c>
      <x:c r="O4" s="67" t="str"/>
      <x:c r="P4" s="67" t="str"/>
      <x:c r="Q4" s="67" t="str"/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</x:v>
      </x:c>
      <x:c r="AC4" s="201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 s="201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 s="201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 s="201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 s="201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 s="201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 s="201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 s="20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 s="201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 s="201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 s="201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 s="201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 s="201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 s="201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 s="201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 s="201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 s="201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 s="20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 s="201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 s="201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 s="201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 s="201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 s="201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 s="201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 s="201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 s="201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 s="201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 s="20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 s="201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 s="201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 s="201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 s="201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 s="201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 s="201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 s="201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 s="201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 s="201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 s="20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 s="201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 s="201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 s="201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 s="201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 s="201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 s="201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 s="201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 s="201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 s="201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 s="20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 s="201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 s="201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 s="201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 s="201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 s="201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 s="201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 s="201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 s="201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 s="201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 s="20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 s="201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 s="201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 s="201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 s="201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 s="201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 s="201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 s="201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 s="201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 s="201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 s="20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 s="201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 s="201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 s="201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 s="201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 s="201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 s="201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 s="201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 s="201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 s="201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 s="20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 s="201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 s="201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 s="201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 s="201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 s="201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 s="201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 s="201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 s="201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 s="201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 s="20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 s="201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 s="201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 s="201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 s="201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 s="201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 s="201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 s="201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 s="201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 s="201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 s="2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 s="201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 s="201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 s="201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 s="201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 s="201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 s="201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 s="201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 s="201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 s="201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 s="20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 s="201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 s="201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 s="201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 s="201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 s="201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 s="201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 s="201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 s="201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 s="201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 s="20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 s="201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 s="201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 s="201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 s="201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 s="201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 s="201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 s="201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 s="201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 s="201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 s="20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 s="201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 s="201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 s="201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 s="201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 s="201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 s="201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 s="201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 s="201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 s="201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 s="20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 s="201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 s="201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 s="201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 s="201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 s="201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 s="201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 s="201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 s="201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 s="201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 s="20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 s="201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 s="201"/>
      <x:c r="AD153"/>
      <x:c r="AE153"/>
    </x:row>
  </x:sheetData>
  <x:mergeCells>
    <x:mergeCell ref="A1:AE1"/>
    <x:mergeCell ref="A2:AE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的字段为必填；南北向道路写“自西向东第X条”，东西向道路写“自南向北第Y条”；同时保留底图版本与原图编号。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 s="196" t="str">
        <x:v>grid_position</x:v>
      </x:c>
      <x:c r="AA3" s="231" t="str">
        <x:v>grid_reference</x:v>
      </x:c>
      <x:c r="AB3" s="231" t="str">
        <x:v>original_grid_code</x:v>
      </x:c>
    </x:row>
    <x:row r="4" ht="42" customHeight="1">
      <x:c r="A4" s="67" t="str">
        <x:v>TC-ROAD-0001</x:v>
      </x:c>
      <x:c r="B4" s="67" t="str">
        <x:v>朱雀大街</x:v>
      </x:c>
      <x:c r="C4" s="67" t="str">
        <x:v>朱雀門街</x:v>
      </x:c>
      <x:c r="D4" s="67" t="str">
        <x:v>朱雀门街</x:v>
      </x:c>
      <x:c r="E4" s="67" t="str">
        <x:v>一级</x:v>
      </x:c>
      <x:c r="F4" s="67" t="str">
        <x:v>南北主干道</x:v>
      </x:c>
      <x:c r="G4" s="67" t="str">
        <x:v>南北</x:v>
      </x:c>
      <x:c r="H4" s="67" t="str">
        <x:v>TC-GATE-0002</x:v>
      </x:c>
      <x:c r="I4" s="67" t="str">
        <x:v>TC-GATE-0001</x:v>
      </x:c>
      <x:c r="J4" s="67" t="str">
        <x:v>TC-GATE-0002,TC-GATE-0001</x:v>
      </x:c>
      <x:c r="K4" s="67" t="str"/>
      <x:c r="L4" s="67" t="n">
        <x:v>150</x:v>
      </x:c>
      <x:c r="M4" s="67" t="str">
        <x:v>步</x:v>
      </x:c>
      <x:c r="N4" s="67" t="str"/>
      <x:c r="O4" s="67" t="str">
        <x:v>待确定唐代步制后换算</x:v>
      </x:c>
      <x:c r="P4" s="67" t="str"/>
      <x:c r="Q4" s="67" t="str">
        <x:v>唐</x:v>
      </x:c>
      <x:c r="R4" s="67" t="str">
        <x:v>唐</x:v>
      </x:c>
      <x:c r="S4" s="67" t="str">
        <x:v>TC-REF-0001</x:v>
      </x:c>
      <x:c r="T4" s="67" t="str">
        <x:v>TC-CHUNK-0003</x:v>
      </x:c>
      <x:c r="U4" s="67" t="str">
        <x:v>東西廣百五十步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标准化宽度暂不填写</x:v>
      </x:c>
      <x:c r="Z4" s="201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 s="201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 s="201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 s="201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 s="201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 s="201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 s="201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 s="20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 s="201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 s="201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 s="201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 s="201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 s="201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 s="201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 s="201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 s="201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 s="201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 s="20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 s="201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 s="201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 s="201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 s="201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 s="201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 s="201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 s="201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 s="201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 s="201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 s="20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 s="201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 s="201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 s="201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 s="201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 s="201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 s="201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 s="201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 s="201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 s="201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 s="20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 s="201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 s="201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 s="201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 s="201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 s="201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 s="201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 s="201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 s="201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 s="201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 s="20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 s="201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 s="201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 s="201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 s="201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 s="201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 s="201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 s="201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 s="201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 s="201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 s="20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 s="201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 s="201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 s="201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 s="201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 s="201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 s="201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 s="201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 s="201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 s="201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 s="20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 s="201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 s="201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 s="201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 s="201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 s="201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 s="201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 s="201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 s="201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 s="201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 s="20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 s="201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 s="201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 s="201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 s="201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 s="201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 s="201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 s="201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 s="201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 s="201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 s="20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 s="201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 s="201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 s="201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 s="201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 s="201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 s="201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 s="201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 s="201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 s="201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 s="2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 s="201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 s="201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 s="201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 s="201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 s="201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 s="201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 s="201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 s="201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 s="201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 s="20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 s="201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 s="201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 s="201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 s="201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 s="201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 s="201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 s="201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 s="201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 s="201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 s="20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 s="201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 s="201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 s="201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 s="201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 s="201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 s="201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 s="201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 s="201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 s="201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 s="20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 s="201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 s="201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 s="201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 s="201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 s="201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 s="201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 s="201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 s="201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 s="201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 s="20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 s="201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 s="201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 s="201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 s="201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 s="201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 s="201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 s="201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 s="201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 s="201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 s="20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 s="201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 s="201"/>
      <x:c r="AA153"/>
      <x:c r="AB153"/>
    </x:row>
  </x:sheetData>
  <x:mergeCells>
    <x:mergeCell ref="A1:AB1"/>
    <x:mergeCell ref="A2:AB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 t="str"/>
      <x:c r="E4" s="67" t="str">
        <x:v>城市干渠</x:v>
      </x:c>
      <x:c r="F4" s="67" t="str"/>
      <x:c r="G4" s="67" t="str"/>
      <x:c r="H4" s="67" t="str">
        <x:v>由南向北</x:v>
      </x:c>
      <x:c r="I4" s="67" t="str"/>
      <x:c r="J4" s="67" t="str"/>
      <x:c r="K4" s="67" t="str"/>
      <x:c r="L4" s="67" t="str">
        <x:v>宫苑供水</x:v>
      </x:c>
      <x:c r="M4" s="67" t="str">
        <x:v>东内苑、兴庆宫等</x:v>
      </x:c>
      <x:c r="N4" s="67" t="str"/>
      <x:c r="O4" s="67" t="str"/>
      <x:c r="P4" s="67" t="str">
        <x:v>唐</x:v>
      </x:c>
      <x:c r="Q4" s="67" t="str">
        <x:v>唐</x:v>
      </x:c>
      <x:c r="R4" s="67" t="str">
        <x:v>TC-REF-0001</x:v>
      </x:c>
      <x:c r="S4" s="67" t="str">
        <x:v>TC-CHUNK-0004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经过范围与实际供水范围需分别核实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明德门</x:v>
      </x:c>
      <x:c r="C4" s="67" t="str">
        <x:v>明德門</x:v>
      </x:c>
      <x:c r="D4" s="67" t="str"/>
      <x:c r="E4" s="67" t="str">
        <x:v>外郭城门</x:v>
      </x:c>
      <x:c r="F4" s="67" t="str">
        <x:v>TC-BUILDING-0001</x:v>
      </x:c>
      <x:c r="G4" s="67" t="str">
        <x:v>南</x:v>
      </x:c>
      <x:c r="H4" s="67" t="str">
        <x:v>外郭城南面正中</x:v>
      </x:c>
      <x:c r="I4" s="67" t="str">
        <x:v>一级</x:v>
      </x:c>
      <x:c r="J4" s="67" t="str">
        <x:v>城市正门</x:v>
      </x:c>
      <x:c r="K4" s="67" t="str">
        <x:v>TC-ROAD-0001</x:v>
      </x:c>
      <x:c r="L4" s="67" t="str"/>
      <x:c r="M4" s="67" t="str"/>
      <x:c r="N4" s="67" t="str"/>
      <x:c r="O4" s="67" t="str"/>
      <x:c r="P4" s="67" t="str"/>
      <x:c r="Q4" s="67" t="str"/>
      <x:c r="R4" s="67" t="str"/>
      <x:c r="S4" s="67" t="str"/>
      <x:c r="T4" s="67" t="str"/>
      <x:c r="U4" s="67" t="str"/>
      <x:c r="V4" s="67" t="str">
        <x:v>待定位</x:v>
      </x:c>
      <x:c r="W4" s="67" t="str"/>
      <x:c r="X4" s="67" t="str"/>
      <x:c r="Y4" s="67" t="str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TC-CHUNK-0001</x:v>
      </x:c>
      <x:c r="AD4" s="67" t="str">
        <x:v>正南曰明德門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TC-SCALE-0001</x:v>
      </x:c>
      <x:c r="B4" s="67" t="str">
        <x:v>TC-ROAD-0001</x:v>
      </x:c>
      <x:c r="C4" s="67" t="str">
        <x:v>朱雀大街</x:v>
      </x:c>
      <x:c r="D4" s="67" t="str">
        <x:v>TC-ROAD-0002</x:v>
      </x:c>
      <x:c r="E4" s="67" t="str">
        <x:v>普通街道</x:v>
      </x:c>
      <x:c r="F4" s="67" t="str">
        <x:v>宽度</x:v>
      </x:c>
      <x:c r="G4" s="97" t="n">
        <x:v>150</x:v>
      </x:c>
      <x:c r="H4" s="97" t="str">
        <x:v>步</x:v>
      </x:c>
      <x:c r="I4" s="97" t="n">
        <x:v>220.5</x:v>
      </x:c>
      <x:c r="J4" s="97" t="n">
        <x:v>100</x:v>
      </x:c>
      <x:c r="K4" s="97" t="str">
        <x:v>步</x:v>
      </x:c>
      <x:c r="L4" s="97" t="n">
        <x:v>147</x:v>
      </x:c>
      <x:c r="M4" s="97" t="str">
        <x:v>米</x:v>
      </x:c>
      <x:c r="N4" s="97" t="n">
        <x:f>IFERROR(I4/L4,"")</x:f>
        <x:v>1.5</x:v>
      </x:c>
      <x:c r="O4" s="67" t="str">
        <x:v>示例换算值，仅用于展示公式</x:v>
      </x:c>
      <x:c r="P4" s="67" t="str">
        <x:v>可比</x:v>
      </x:c>
      <x:c r="Q4" s="67" t="str">
        <x:v>同一换算标准</x:v>
      </x:c>
      <x:c r="R4" s="67" t="str">
        <x:v>实际换算系数待权威文献确认</x:v>
      </x:c>
      <x:c r="S4" s="67" t="str">
        <x:v>唐</x:v>
      </x:c>
      <x:c r="T4" s="67" t="str">
        <x:v>唐</x:v>
      </x:c>
      <x:c r="U4" s="67" t="str">
        <x:v>TC-REF-0001</x:v>
      </x:c>
      <x:c r="V4" s="67" t="str"/>
      <x:c r="W4" s="67" t="str"/>
      <x:c r="X4" s="67" t="str">
        <x:v>计算结果</x:v>
      </x:c>
      <x:c r="Y4" s="67" t="n">
        <x:v>0.6</x:v>
      </x:c>
      <x:c r="Z4" s="67" t="str">
        <x:v>待审核</x:v>
      </x:c>
      <x:c r="AA4" s="67" t="str">
        <x:v>示例数值不得作为正式结论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皇城邻近坊官署功能集中</x:v>
      </x:c>
      <x:c r="C4" s="67" t="str">
        <x:v>空间—功能</x:v>
      </x:c>
      <x:c r="D4" s="67" t="str">
        <x:v>皇城周边坊</x:v>
      </x:c>
      <x:c r="E4" s="67" t="str">
        <x:v>坊靠近皇城或主要官署道路</x:v>
      </x:c>
      <x:c r="F4" s="67" t="str">
        <x:v>官署及相关居住功能可能更集中</x:v>
      </x:c>
      <x:c r="G4" s="67" t="str"/>
      <x:c r="H4" s="67" t="str"/>
      <x:c r="I4" s="67" t="str"/>
      <x:c r="J4" s="67" t="str"/>
      <x:c r="K4" s="67" t="str"/>
      <x:c r="L4" s="67" t="str">
        <x:v>待补充至少两个正例</x:v>
      </x:c>
      <x:c r="M4" s="67" t="str">
        <x:v>待主动检索反例</x:v>
      </x:c>
      <x:c r="N4" s="67" t="str">
        <x:v>汇总位置与功能记录后进行比较</x:v>
      </x:c>
      <x:c r="O4" s="67" t="str">
        <x:v>唐</x:v>
      </x:c>
      <x:c r="P4" s="67" t="str">
        <x:v>唐</x:v>
      </x:c>
      <x:c r="Q4" s="67" t="str">
        <x:v>TC-REF-0001</x:v>
      </x:c>
      <x:c r="R4" s="67" t="str"/>
      <x:c r="S4" s="67" t="str"/>
      <x:c r="T4" s="67" t="str">
        <x:v>推导结论</x:v>
      </x:c>
      <x:c r="U4" s="67" t="n">
        <x:v>0.6</x:v>
      </x:c>
      <x:c r="V4" s="67" t="str">
        <x:v>待审核</x:v>
      </x:c>
      <x:c r="W4" s="67" t="str">
        <x:v>示例规则，不作为正式结论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TC-FANG-0001</x:v>
      </x:c>
      <x:c r="C4" s="137" t="str">
        <x:v>平康坊</x:v>
      </x:c>
      <x:c r="D4" s="137" t="str">
        <x:v>NORTH_OF</x:v>
      </x:c>
      <x:c r="E4" s="137" t="str">
        <x:v>TC-FANG-0002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名称、别名、时期、位置、网格坐标、底图版本、原图格号、经纬度、来源等写入实体属性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等级、类型、走向、网格序位、底图版本、原图编号、宽度、时期、几何等写入实体属性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4" hidden="0" customWidth="1"/>
    <x:col min="3" max="3" width="3" hidden="0" customWidth="1"/>
    <x:col min="4" max="4" width="13" hidden="0" customWidth="1"/>
    <x:col min="5" max="5" width="13" hidden="0" customWidth="1"/>
    <x:col min="6" max="6" width="3" hidden="0" customWidth="1"/>
    <x:col min="7" max="7" width="18" hidden="0" customWidth="1"/>
    <x:col min="8" max="8" width="14" hidden="0" customWidth="1"/>
    <x:col min="9" max="9" width="12" hidden="0" customWidth="1"/>
    <x:col min="10" max="10" width="8" hidden="0" customWidth="1"/>
    <x:col min="11" max="11" width="8" hidden="0" customWidth="1"/>
    <x:col min="12" max="12" width="16" hidden="0" customWidth="1"/>
  </x:cols>
  <x:sheetData>
    <x:row r="1" ht="30" customHeight="1">
      <x:c r="A1" s="225" t="str">
        <x:v>唐长安城历史复原网格坐标基准（试行版）</x:v>
      </x:c>
      <x:c r="B1" s="225"/>
      <x:c r="C1" s="225"/>
      <x:c r="D1" s="225"/>
      <x:c r="E1" s="225"/>
      <x:c r="F1" s="225"/>
      <x:c r="G1" s="225"/>
      <x:c r="H1" s="225"/>
      <x:c r="I1" s="225"/>
      <x:c r="J1" s="225"/>
      <x:c r="K1" s="225"/>
      <x:c r="L1" s="225"/>
    </x:row>
    <x:row r="3" ht="23" customHeight="1">
      <x:c r="A3" s="231" t="str">
        <x:v>项目</x:v>
      </x:c>
      <x:c r="B3" s="231" t="str">
        <x:v>说明</x:v>
      </x:c>
    </x:row>
    <x:row r="4" ht="23" customHeight="1">
      <x:c r="A4" s="233" t="str">
        <x:v>grid_version</x:v>
      </x:c>
      <x:c r="B4" s="212" t="str">
        <x:v>SENO-8C-V0.1（试行）</x:v>
      </x:c>
    </x:row>
    <x:row r="5" ht="34" customHeight="1">
      <x:c r="A5" s="233" t="str">
        <x:v>逻辑网格主图</x:v>
      </x:c>
      <x:c r="B5" s="212" t="str">
        <x:v>王子奇（2023）图15转载的妹尾达彦《8世纪前半期的长安城复原图》</x:v>
      </x:c>
    </x:row>
    <x:row r="6" ht="34" customHeight="1">
      <x:c r="A6" s="233" t="str">
        <x:v>适用范围</x:v>
      </x:c>
      <x:c r="B6" s="212" t="str">
        <x:v>8世纪前半期唐长安城坊区的逻辑定位；不等同考古实测坐标或现代经纬度</x:v>
      </x:c>
    </x:row>
    <x:row r="7" ht="34" customHeight="1">
      <x:c r="A7" s="233" t="str">
        <x:v>横向规则</x:v>
      </x:c>
      <x:c r="B7" s="212" t="str">
        <x:v>原图A—J自西向东；数据库x=1—10</x:v>
      </x:c>
    </x:row>
    <x:row r="8" ht="34" customHeight="1">
      <x:c r="A8" s="233" t="str">
        <x:v>纵向规则</x:v>
      </x:c>
      <x:c r="B8" s="212" t="str">
        <x:v>原图1—13自北向南；数据库y=14-原图行号，因此y自南向北递增</x:v>
      </x:c>
    </x:row>
    <x:row r="9" ht="34" customHeight="1">
      <x:c r="A9" s="233" t="str">
        <x:v>校核图</x:v>
      </x:c>
      <x:c r="B9" s="212" t="str">
        <x:v>宿白复原图、《西安历史地图集》复原图及考古实测图；不同复原图不得直接混合编号</x:v>
      </x:c>
    </x:row>
    <x:row r="10" ht="23" customHeight="1">
      <x:c r="G10" s="236" t="str">
        <x:v>下列5行是坐标换算示例，不代表模板预置的正式研究结论。</x:v>
      </x:c>
      <x:c r="H10" s="236"/>
      <x:c r="I10" s="236"/>
      <x:c r="J10" s="236"/>
      <x:c r="K10" s="236"/>
      <x:c r="L10" s="236"/>
    </x:row>
    <x:row r="11" ht="23" customHeight="1">
      <x:c r="A11" s="231" t="str">
        <x:v>原图列号</x:v>
      </x:c>
      <x:c r="B11" s="231" t="str">
        <x:v>数据库x</x:v>
      </x:c>
      <x:c r="D11" s="231" t="str">
        <x:v>原图行号</x:v>
      </x:c>
      <x:c r="E11" s="231" t="str">
        <x:v>数据库y</x:v>
      </x:c>
      <x:c r="G11" s="231" t="str">
        <x:v>fang_key</x:v>
      </x:c>
      <x:c r="H11" s="231" t="str">
        <x:v>坊名</x:v>
      </x:c>
      <x:c r="I11" s="231" t="str">
        <x:v>原图格号</x:v>
      </x:c>
      <x:c r="J11" s="231" t="str">
        <x:v>x</x:v>
      </x:c>
      <x:c r="K11" s="231" t="str">
        <x:v>y</x:v>
      </x:c>
      <x:c r="L11" s="231" t="str">
        <x:v>数据库坐标</x:v>
      </x:c>
    </x:row>
    <x:row r="12" ht="23" customHeight="1">
      <x:c r="A12" s="212" t="str">
        <x:v>A</x:v>
      </x:c>
      <x:c r="B12" s="215" t="n">
        <x:v>1</x:v>
      </x:c>
      <x:c r="D12" s="215" t="n">
        <x:v>1</x:v>
      </x:c>
      <x:c r="E12" s="215" t="n">
        <x:f>14-D12</x:f>
        <x:v>13</x:v>
      </x:c>
      <x:c r="G12" s="212" t="str">
        <x:v>TC-FANG-0002</x:v>
      </x:c>
      <x:c r="H12" s="212" t="str">
        <x:v>修真坊</x:v>
      </x:c>
      <x:c r="I12" s="212" t="str">
        <x:v>A1</x:v>
      </x:c>
      <x:c r="J12" s="212" t="n">
        <x:f>CODE(LEFT(I12,1))-64</x:f>
        <x:v>1</x:v>
      </x:c>
      <x:c r="K12" s="212" t="n">
        <x:f>14-VALUE(MID(I12,2,2))</x:f>
        <x:v>13</x:v>
      </x:c>
      <x:c r="L12" s="212" t="str">
        <x:f>"("&amp;J12&amp;","&amp;K12&amp;")"</x:f>
        <x:v>(1,13)</x:v>
      </x:c>
    </x:row>
    <x:row r="13" ht="23" customHeight="1">
      <x:c r="A13" s="212" t="str">
        <x:v>B</x:v>
      </x:c>
      <x:c r="B13" s="215" t="n">
        <x:v>2</x:v>
      </x:c>
      <x:c r="D13" s="215" t="n">
        <x:v>2</x:v>
      </x:c>
      <x:c r="E13" s="215" t="n">
        <x:f>14-D13</x:f>
        <x:v>12</x:v>
      </x:c>
      <x:c r="G13" s="212" t="str">
        <x:v>TC-FANG-0003</x:v>
      </x:c>
      <x:c r="H13" s="212" t="str">
        <x:v>安定坊</x:v>
      </x:c>
      <x:c r="I13" s="212" t="str">
        <x:v>B1</x:v>
      </x:c>
      <x:c r="J13" s="212" t="n">
        <x:f>CODE(LEFT(I13,1))-64</x:f>
        <x:v>2</x:v>
      </x:c>
      <x:c r="K13" s="212" t="n">
        <x:f>14-VALUE(MID(I13,2,2))</x:f>
        <x:v>13</x:v>
      </x:c>
      <x:c r="L13" s="212" t="str">
        <x:f>"("&amp;J13&amp;","&amp;K13&amp;")"</x:f>
        <x:v>(2,13)</x:v>
      </x:c>
    </x:row>
    <x:row r="14" ht="23" customHeight="1">
      <x:c r="A14" s="212" t="str">
        <x:v>C</x:v>
      </x:c>
      <x:c r="B14" s="215" t="n">
        <x:v>3</x:v>
      </x:c>
      <x:c r="D14" s="215" t="n">
        <x:v>3</x:v>
      </x:c>
      <x:c r="E14" s="215" t="n">
        <x:f>14-D14</x:f>
        <x:v>11</x:v>
      </x:c>
      <x:c r="G14" s="212" t="str">
        <x:v>TC-FANG-0004</x:v>
      </x:c>
      <x:c r="H14" s="212" t="str">
        <x:v>修德坊</x:v>
      </x:c>
      <x:c r="I14" s="212" t="str">
        <x:v>C1</x:v>
      </x:c>
      <x:c r="J14" s="212" t="n">
        <x:f>CODE(LEFT(I14,1))-64</x:f>
        <x:v>3</x:v>
      </x:c>
      <x:c r="K14" s="212" t="n">
        <x:f>14-VALUE(MID(I14,2,2))</x:f>
        <x:v>13</x:v>
      </x:c>
      <x:c r="L14" s="212" t="str">
        <x:f>"("&amp;J14&amp;","&amp;K14&amp;")"</x:f>
        <x:v>(3,13)</x:v>
      </x:c>
    </x:row>
    <x:row r="15" ht="23" customHeight="1">
      <x:c r="A15" s="212" t="str">
        <x:v>D</x:v>
      </x:c>
      <x:c r="B15" s="215" t="n">
        <x:v>4</x:v>
      </x:c>
      <x:c r="D15" s="215" t="n">
        <x:v>4</x:v>
      </x:c>
      <x:c r="E15" s="215" t="n">
        <x:f>14-D15</x:f>
        <x:v>10</x:v>
      </x:c>
      <x:c r="G15" s="212" t="str">
        <x:v>TC-FANG-0005</x:v>
      </x:c>
      <x:c r="H15" s="212" t="str">
        <x:v>普宁坊</x:v>
      </x:c>
      <x:c r="I15" s="212" t="str">
        <x:v>A2</x:v>
      </x:c>
      <x:c r="J15" s="212" t="n">
        <x:f>CODE(LEFT(I15,1))-64</x:f>
        <x:v>1</x:v>
      </x:c>
      <x:c r="K15" s="212" t="n">
        <x:f>14-VALUE(MID(I15,2,2))</x:f>
        <x:v>12</x:v>
      </x:c>
      <x:c r="L15" s="212" t="str">
        <x:f>"("&amp;J15&amp;","&amp;K15&amp;")"</x:f>
        <x:v>(1,12)</x:v>
      </x:c>
    </x:row>
    <x:row r="16" ht="23" customHeight="1">
      <x:c r="A16" s="212" t="str">
        <x:v>E</x:v>
      </x:c>
      <x:c r="B16" s="215" t="n">
        <x:v>5</x:v>
      </x:c>
      <x:c r="D16" s="215" t="n">
        <x:v>5</x:v>
      </x:c>
      <x:c r="E16" s="215" t="n">
        <x:f>14-D16</x:f>
        <x:v>9</x:v>
      </x:c>
      <x:c r="G16" s="212" t="str">
        <x:v>TC-FANG-0006</x:v>
      </x:c>
      <x:c r="H16" s="212" t="str">
        <x:v>休祥坊</x:v>
      </x:c>
      <x:c r="I16" s="212" t="str">
        <x:v>B2</x:v>
      </x:c>
      <x:c r="J16" s="212" t="n">
        <x:f>CODE(LEFT(I16,1))-64</x:f>
        <x:v>2</x:v>
      </x:c>
      <x:c r="K16" s="212" t="n">
        <x:f>14-VALUE(MID(I16,2,2))</x:f>
        <x:v>12</x:v>
      </x:c>
      <x:c r="L16" s="212" t="str">
        <x:f>"("&amp;J16&amp;","&amp;K16&amp;")"</x:f>
        <x:v>(2,12)</x:v>
      </x:c>
    </x:row>
    <x:row r="17" ht="23" customHeight="1">
      <x:c r="A17" s="212" t="str">
        <x:v>F</x:v>
      </x:c>
      <x:c r="B17" s="215" t="n">
        <x:v>6</x:v>
      </x:c>
      <x:c r="D17" s="215" t="n">
        <x:v>6</x:v>
      </x:c>
      <x:c r="E17" s="215" t="n">
        <x:f>14-D17</x:f>
        <x:v>8</x:v>
      </x:c>
    </x:row>
    <x:row r="18" ht="23" customHeight="1">
      <x:c r="A18" s="212" t="str">
        <x:v>G</x:v>
      </x:c>
      <x:c r="B18" s="215" t="n">
        <x:v>7</x:v>
      </x:c>
      <x:c r="D18" s="215" t="n">
        <x:v>7</x:v>
      </x:c>
      <x:c r="E18" s="215" t="n">
        <x:f>14-D18</x:f>
        <x:v>7</x:v>
      </x:c>
    </x:row>
    <x:row r="19" ht="23" customHeight="1">
      <x:c r="A19" s="212" t="str">
        <x:v>H</x:v>
      </x:c>
      <x:c r="B19" s="215" t="n">
        <x:v>8</x:v>
      </x:c>
      <x:c r="D19" s="215" t="n">
        <x:v>8</x:v>
      </x:c>
      <x:c r="E19" s="215" t="n">
        <x:f>14-D19</x:f>
        <x:v>6</x:v>
      </x:c>
    </x:row>
    <x:row r="20" ht="23" customHeight="1">
      <x:c r="A20" s="212" t="str">
        <x:v>I</x:v>
      </x:c>
      <x:c r="B20" s="215" t="n">
        <x:v>9</x:v>
      </x:c>
      <x:c r="D20" s="215" t="n">
        <x:v>9</x:v>
      </x:c>
      <x:c r="E20" s="215" t="n">
        <x:f>14-D20</x:f>
        <x:v>5</x:v>
      </x:c>
    </x:row>
    <x:row r="21" ht="23" customHeight="1">
      <x:c r="A21" s="212" t="str">
        <x:v>J</x:v>
      </x:c>
      <x:c r="B21" s="215" t="n">
        <x:v>10</x:v>
      </x:c>
      <x:c r="D21" s="215" t="n">
        <x:v>10</x:v>
      </x:c>
      <x:c r="E21" s="215" t="n">
        <x:f>14-D21</x:f>
        <x:v>4</x:v>
      </x:c>
    </x:row>
    <x:row r="22" ht="23" customHeight="1">
      <x:c r="D22" s="215" t="n">
        <x:v>11</x:v>
      </x:c>
      <x:c r="E22" s="215" t="n">
        <x:f>14-D22</x:f>
        <x:v>3</x:v>
      </x:c>
    </x:row>
    <x:row r="23" ht="23" customHeight="1">
      <x:c r="D23" s="215" t="n">
        <x:v>12</x:v>
      </x:c>
      <x:c r="E23" s="215" t="n">
        <x:f>14-D23</x:f>
        <x:v>2</x:v>
      </x:c>
    </x:row>
    <x:row r="24" ht="23" customHeight="1">
      <x:c r="D24" s="215" t="n">
        <x:v>13</x:v>
      </x:c>
      <x:c r="E24" s="215" t="n">
        <x:f>14-D24</x:f>
        <x:v>1</x:v>
      </x:c>
    </x:row>
    <x:row r="25" ht="23" customHeight="1"/>
    <x:row r="26" ht="34" customHeight="1">
      <x:c r="A26" s="240" t="str">
        <x:v>直接来源：王子奇：《图里寻城——隋唐长安城考古与复原研究的回顾与思考》，《唐宋历史评论》第十二辑，2023年，图15（PDF第27页／刊页331）。</x:v>
      </x:c>
      <x:c r="B26" s="240"/>
      <x:c r="C26" s="240"/>
      <x:c r="D26" s="240"/>
      <x:c r="E26" s="240"/>
      <x:c r="F26" s="240"/>
      <x:c r="G26" s="240"/>
      <x:c r="H26" s="240"/>
      <x:c r="I26" s="240"/>
      <x:c r="J26" s="240"/>
      <x:c r="K26" s="240"/>
      <x:c r="L26" s="240"/>
    </x:row>
    <x:row r="27" ht="34" customHeight="1">
      <x:c r="A27" s="240" t="str">
        <x:v>原图来源：[日]妹尾达彦：《隋唐长安与东亚比较都城史》，第452页后插页。当前仅以论文转载图建立试行逻辑网格；正式发布前应核对原书高清图。</x:v>
      </x:c>
      <x:c r="B27" s="240"/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</x:row>
  </x:sheetData>
  <x:mergeCells>
    <x:mergeCell ref="A1:L1"/>
    <x:mergeCell ref="G10:L10"/>
    <x:mergeCell ref="A26:L26"/>
    <x:mergeCell ref="A27:L27"/>
  </x:mergeCells>
  <x:pageMargins left="0.7" right="0.7" top="0.75" bottom="0.75" header="0.3" footer="0.3"/>
</x:worksheet>
</file>
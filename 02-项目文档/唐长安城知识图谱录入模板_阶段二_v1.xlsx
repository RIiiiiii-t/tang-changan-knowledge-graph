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4ab2e2204947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47d66d32c79c4ed6"/>
    <x:sheet xmlns:r="http://schemas.openxmlformats.org/officeDocument/2006/relationships" name="来源表" sheetId="4" r:id="R6ee6a41994a04fd7"/>
    <x:sheet xmlns:r="http://schemas.openxmlformats.org/officeDocument/2006/relationships" name="史料片段" sheetId="5" r:id="Re3ceee68f9aa499f"/>
    <x:sheet xmlns:r="http://schemas.openxmlformats.org/officeDocument/2006/relationships" name="实体表" sheetId="2" r:id="R865b8854838e47ce"/>
    <x:sheet xmlns:r="http://schemas.openxmlformats.org/officeDocument/2006/relationships" name="关系表" sheetId="3" r:id="R4d4f0d7eed5f4fb8"/>
    <x:sheet xmlns:r="http://schemas.openxmlformats.org/officeDocument/2006/relationships" name="坐标基准" sheetId="15" r:id="R5ac0942e39a54a1f"/>
    <x:sheet xmlns:r="http://schemas.openxmlformats.org/officeDocument/2006/relationships" name="坊功能表" sheetId="7" r:id="Rab3560720d10463c"/>
    <x:sheet xmlns:r="http://schemas.openxmlformats.org/officeDocument/2006/relationships" name="坊间空间关系" sheetId="13" r:id="R02436ada343f4cbb"/>
    <x:sheet xmlns:r="http://schemas.openxmlformats.org/officeDocument/2006/relationships" name="坊内平面规则" sheetId="17" r:id="R37e509bdb4054a1b"/>
    <x:sheet xmlns:r="http://schemas.openxmlformats.org/officeDocument/2006/relationships" name="道路分级表" sheetId="8" r:id="R94c78319f36842f0"/>
    <x:sheet xmlns:r="http://schemas.openxmlformats.org/officeDocument/2006/relationships" name="道路轴线" sheetId="16" r:id="R0da843e83a764c1c"/>
    <x:sheet xmlns:r="http://schemas.openxmlformats.org/officeDocument/2006/relationships" name="水渠表" sheetId="9" r:id="R294a7fe9de8c4b36"/>
    <x:sheet xmlns:r="http://schemas.openxmlformats.org/officeDocument/2006/relationships" name="城门表" sheetId="10" r:id="Rc91e42c1f8ec49b6"/>
    <x:sheet xmlns:r="http://schemas.openxmlformats.org/officeDocument/2006/relationships" name="尺度关系表" sheetId="11" r:id="Rbd1df6b572f14cba"/>
    <x:sheet xmlns:r="http://schemas.openxmlformats.org/officeDocument/2006/relationships" name="功能分区规则" sheetId="12" r:id="R9bede95222614898"/>
    <x:sheet xmlns:r="http://schemas.openxmlformats.org/officeDocument/2006/relationships" name="研究结论表" sheetId="18" r:id="R5d57e9b8bda24335"/>
    <x:sheet xmlns:r="http://schemas.openxmlformats.org/officeDocument/2006/relationships" name="转换规则" sheetId="14" r:id="R9ef59fad102e4372"/>
    <x:sheet xmlns:r="http://schemas.openxmlformats.org/officeDocument/2006/relationships" name="代码对照" sheetId="6" r:id="R682a5cbe507549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4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</x:fonts>
  <x:fills count="95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373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b02e1322ea4f69" /><Relationship Type="http://schemas.openxmlformats.org/officeDocument/2006/relationships/theme" Target="/xl/theme/theme1.xml" Id="Rd726adbb3ca646ca" /><Relationship Type="http://schemas.openxmlformats.org/officeDocument/2006/relationships/sharedStrings" Target="/xl/sharedStrings.xml" Id="Rfdac5258dca24bbd" /><Relationship Type="http://schemas.openxmlformats.org/officeDocument/2006/relationships/worksheet" Target="/xl/worksheets/sheet1.xml" Id="R47d66d32c79c4ed6" /><Relationship Type="http://schemas.openxmlformats.org/officeDocument/2006/relationships/worksheet" Target="/xl/worksheets/sheet2.xml" Id="R865b8854838e47ce" /><Relationship Type="http://schemas.openxmlformats.org/officeDocument/2006/relationships/worksheet" Target="/xl/worksheets/sheet3.xml" Id="R4d4f0d7eed5f4fb8" /><Relationship Type="http://schemas.openxmlformats.org/officeDocument/2006/relationships/worksheet" Target="/xl/worksheets/sheet4.xml" Id="R6ee6a41994a04fd7" /><Relationship Type="http://schemas.openxmlformats.org/officeDocument/2006/relationships/worksheet" Target="/xl/worksheets/sheet5.xml" Id="Re3ceee68f9aa499f" /><Relationship Type="http://schemas.openxmlformats.org/officeDocument/2006/relationships/worksheet" Target="/xl/worksheets/sheet6.xml" Id="R682a5cbe507549a9" /><Relationship Type="http://schemas.openxmlformats.org/officeDocument/2006/relationships/worksheet" Target="/xl/worksheets/sheet7.xml" Id="Rab3560720d10463c" /><Relationship Type="http://schemas.openxmlformats.org/officeDocument/2006/relationships/worksheet" Target="/xl/worksheets/sheet8.xml" Id="R94c78319f36842f0" /><Relationship Type="http://schemas.openxmlformats.org/officeDocument/2006/relationships/worksheet" Target="/xl/worksheets/sheet9.xml" Id="R294a7fe9de8c4b36" /><Relationship Type="http://schemas.openxmlformats.org/officeDocument/2006/relationships/worksheet" Target="/xl/worksheets/sheet10.xml" Id="Rc91e42c1f8ec49b6" /><Relationship Type="http://schemas.openxmlformats.org/officeDocument/2006/relationships/worksheet" Target="/xl/worksheets/sheet11.xml" Id="Rbd1df6b572f14cba" /><Relationship Type="http://schemas.openxmlformats.org/officeDocument/2006/relationships/worksheet" Target="/xl/worksheets/sheet12.xml" Id="R9bede95222614898" /><Relationship Type="http://schemas.openxmlformats.org/officeDocument/2006/relationships/worksheet" Target="/xl/worksheets/sheet13.xml" Id="R02436ada343f4cbb" /><Relationship Type="http://schemas.openxmlformats.org/officeDocument/2006/relationships/worksheet" Target="/xl/worksheets/sheet14.xml" Id="R9ef59fad102e4372" /><Relationship Type="http://schemas.openxmlformats.org/officeDocument/2006/relationships/worksheet" Target="/xl/worksheets/sheet15.xml" Id="R5ac0942e39a54a1f" /><Relationship Type="http://schemas.openxmlformats.org/officeDocument/2006/relationships/worksheet" Target="/xl/worksheets/sheet16.xml" Id="R0da843e83a764c1c" /><Relationship Type="http://schemas.openxmlformats.org/officeDocument/2006/relationships/worksheet" Target="/xl/worksheets/sheet17.xml" Id="R37e509bdb4054a1b" /><Relationship Type="http://schemas.openxmlformats.org/officeDocument/2006/relationships/worksheet" Target="/xl/worksheets/sheet18.xml" Id="R5d57e9b8bda24335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860035769814c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a31a02af29f46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94dcf0dd6ef4d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b97a7a129f040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用途：统一录入通用知识图谱数据、七张空间专题表、研究结论表及辅助规则表。基础事实与研究推论分层保存；所有专题数据经“转换规则”进入实体表和关系表，并继承来源、片段和审核状态。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
11. 坊内平面规则表为占位版；字段可调整，但每次调整必须保留版本和转换说明。
12.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填写七张空间专题表；坊间方位另填“坊间空间关系”，坊内组织另填“坊内平面规则”。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在“研究结论表”记录论文中的解释性结论、论证依据、适用范围和科普转述。</x:v>
      </x:c>
      <x:c r="C12" s="26" t="str">
        <x:v>可追溯研究结论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推荐顺序：来源表 → 史料片段 → 空间专题表/坊间空间关系/坊内平面规则 → 研究结论表 → 人工审核 → 按“转换规则”生成实体表与关系表。基础事实与研究推论不要混写。</x:v>
      </x:c>
      <x:c r="B15" s="362"/>
      <x:c r="C15" s="362"/>
      <x:c r="D15" s="362"/>
      <x:c r="E15" s="362"/>
    </x:row>
  </x:sheetData>
  <x:mergeCells>
    <x:mergeCell ref="A1:H1"/>
    <x:mergeCell ref="A3:H3"/>
    <x:mergeCell ref="E5:H5"/>
    <x:mergeCell ref="E6:H12"/>
    <x:mergeCell ref="A15:E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>
        <x:v>Gate</x:v>
      </x:c>
      <x:c r="E4" s="67" t="str"/>
      <x:c r="F4" s="67" t="str">
        <x:v>外郭城门</x:v>
      </x:c>
      <x:c r="G4" s="67" t="str">
        <x:v>唐</x:v>
      </x:c>
      <x:c r="H4" s="67" t="str">
        <x:v>唐</x:v>
      </x:c>
      <x:c r="I4" s="67" t="str">
        <x:v>唐长安城外郭城正南门</x:v>
      </x:c>
      <x:c r="J4" s="67" t="str">
        <x:v>外郭城南面正中</x:v>
      </x:c>
      <x:c r="K4" s="67" t="str">
        <x:v>TC-REF-0001</x:v>
      </x:c>
      <x:c r="L4" s="67" t="str">
        <x:v>TC-CHUNK-0001</x:v>
      </x:c>
      <x:c r="M4" s="67" t="n">
        <x:v>0.95</x:v>
      </x:c>
      <x:c r="N4" s="67" t="str">
        <x:v>待审核</x:v>
      </x:c>
      <x:c r="O4" s="67" t="str">
        <x:v>正南曰明德門</x:v>
      </x:c>
    </x:row>
    <x:row r="5" ht="28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60035769814c4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TC-REL-0001</x:v>
      </x:c>
      <x:c r="B4" s="67" t="str">
        <x:v>TC-ROAD-0001</x:v>
      </x:c>
      <x:c r="C4" s="67" t="str">
        <x:v>朱雀大街</x:v>
      </x:c>
      <x:c r="D4" s="67" t="str">
        <x:v>TC-GATE-0001</x:v>
      </x:c>
      <x:c r="E4" s="67" t="str">
        <x:v>明德门</x:v>
      </x:c>
      <x:c r="F4" s="67" t="str">
        <x:v>CONNECTS_TO</x:v>
      </x:c>
      <x:c r="G4" s="67" t="str">
        <x:v>朱雀大街向南连接明德门</x:v>
      </x:c>
      <x:c r="H4" s="67" t="str">
        <x:v>TC-REF-0001</x:v>
      </x:c>
      <x:c r="I4" s="67" t="str">
        <x:v>TC-CHUNK-0001</x:v>
      </x:c>
      <x:c r="J4" s="67" t="n">
        <x:v>0.95</x:v>
      </x:c>
      <x:c r="K4" s="67" t="str">
        <x:v>唐</x:v>
      </x:c>
      <x:c r="L4" s="67" t="str">
        <x:v>唐</x:v>
      </x:c>
      <x:c r="M4" s="67" t="str">
        <x:v>朱雀門街南出明德門</x:v>
      </x:c>
      <x:c r="N4" s="67" t="str">
        <x:v>史料直述</x:v>
      </x:c>
      <x:c r="O4" s="67" t="str">
        <x:v>待审核</x:v>
      </x:c>
      <x:c r="P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31a02af29f46d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唐两京城坊考</x:v>
      </x:c>
      <x:c r="C4" s="67" t="str">
        <x:v>古籍</x:v>
      </x:c>
      <x:c r="D4" s="67" t="str">
        <x:v>徐松</x:v>
      </x:c>
      <x:c r="E4" s="67" t="str">
        <x:v>校勘本</x:v>
      </x:c>
      <x:c r="F4" s="67" t="str"/>
      <x:c r="G4" s="67" t="n">
        <x:v>1845</x:v>
      </x:c>
      <x:c r="H4" s="67" t="str">
        <x:v>卷一</x:v>
      </x:c>
      <x:c r="I4" s="67" t="str"/>
      <x:c r="J4" s="67" t="str"/>
      <x:c r="K4" s="67" t="str">
        <x:v>03-原始文献/唐两京城坊考_徐松</x:v>
      </x:c>
      <x:c r="L4" s="67" t="str">
        <x:v>A</x:v>
      </x:c>
      <x:c r="M4" s="67" t="str">
        <x:v>待审核</x:v>
      </x:c>
      <x:c r="N4" s="67" t="str">
        <x:v>城市名称、方位与沿革的基础来源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4dcf0dd6ef4dd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TC-CHUNK-0001</x:v>
      </x:c>
      <x:c r="B4" s="67" t="str">
        <x:v>TC-REF-0001</x:v>
      </x:c>
      <x:c r="C4" s="67" t="str">
        <x:v>正南曰明德門。</x:v>
      </x:c>
      <x:c r="D4" s="67" t="str">
        <x:v>外郭城</x:v>
      </x:c>
      <x:c r="E4" s="67" t="str">
        <x:v>卷一</x:v>
      </x:c>
      <x:c r="F4" s="67" t="str"/>
      <x:c r="G4" s="67" t="str">
        <x:v>TC-GATE-0001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支持明德门名称与方位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97a7a129f0409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 s="201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 s="201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 s="201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 s="201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 s="201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朱雀大街</x:v>
      </x:c>
      <x:c r="C4" s="67" t="str">
        <x:v>朱雀門街</x:v>
      </x:c>
      <x:c r="D4" s="67" t="str">
        <x:v>朱雀门街</x:v>
      </x:c>
      <x:c r="E4" s="67" t="str">
        <x:v>一级</x:v>
      </x:c>
      <x:c r="F4" s="67" t="str">
        <x:v>南北主干道</x:v>
      </x:c>
      <x:c r="G4" s="67" t="str">
        <x:v>南北</x:v>
      </x:c>
      <x:c r="H4" s="67" t="str">
        <x:v>TC-GATE-0002</x:v>
      </x:c>
      <x:c r="I4" s="67" t="str">
        <x:v>TC-GATE-0001</x:v>
      </x:c>
      <x:c r="J4" s="67" t="str">
        <x:v>TC-GATE-0002,TC-GATE-0001</x:v>
      </x:c>
      <x:c r="K4" s="67" t="str"/>
      <x:c r="L4" s="67" t="n">
        <x:v>150</x:v>
      </x:c>
      <x:c r="M4" s="67" t="str">
        <x:v>步</x:v>
      </x:c>
      <x:c r="N4" s="67" t="str"/>
      <x:c r="O4" s="67" t="str">
        <x:v>待确定唐代步制后换算</x:v>
      </x:c>
      <x:c r="P4" s="67" t="str"/>
      <x:c r="Q4" s="67" t="str">
        <x:v>唐</x:v>
      </x:c>
      <x:c r="R4" s="67" t="str">
        <x:v>唐</x:v>
      </x:c>
      <x:c r="S4" s="67" t="str">
        <x:v>TC-REF-0001</x:v>
      </x:c>
      <x:c r="T4" s="67" t="str">
        <x:v>TC-CHUNK-0003</x:v>
      </x:c>
      <x:c r="U4" s="67" t="str">
        <x:v>東西廣百五十步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标准化宽度暂不填写</x:v>
      </x:c>
      <x:c r="Z4" s="201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 s="201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 t="str"/>
      <x:c r="E4" s="67" t="str">
        <x:v>城市干渠</x:v>
      </x:c>
      <x:c r="F4" s="67" t="str"/>
      <x:c r="G4" s="67" t="str"/>
      <x:c r="H4" s="67" t="str">
        <x:v>由南向北</x:v>
      </x:c>
      <x:c r="I4" s="67" t="str"/>
      <x:c r="J4" s="67" t="str"/>
      <x:c r="K4" s="67" t="str"/>
      <x:c r="L4" s="67" t="str">
        <x:v>宫苑供水</x:v>
      </x:c>
      <x:c r="M4" s="67" t="str">
        <x:v>东内苑、兴庆宫等</x:v>
      </x:c>
      <x:c r="N4" s="67" t="str"/>
      <x:c r="O4" s="67" t="str"/>
      <x:c r="P4" s="67" t="str">
        <x:v>唐</x:v>
      </x:c>
      <x:c r="Q4" s="67" t="str">
        <x:v>唐</x:v>
      </x:c>
      <x:c r="R4" s="67" t="str">
        <x:v>TC-REF-0001</x:v>
      </x:c>
      <x:c r="S4" s="67" t="str">
        <x:v>TC-CHUNK-0004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经过范围与实际供水范围需分别核实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明德门</x:v>
      </x:c>
      <x:c r="C4" s="67" t="str">
        <x:v>明德門</x:v>
      </x:c>
      <x:c r="D4" s="67" t="str"/>
      <x:c r="E4" s="67" t="str">
        <x:v>外郭城门</x:v>
      </x:c>
      <x:c r="F4" s="67" t="str">
        <x:v>TC-BUILDING-0001</x:v>
      </x:c>
      <x:c r="G4" s="67" t="str">
        <x:v>南</x:v>
      </x:c>
      <x:c r="H4" s="67" t="str">
        <x:v>外郭城南面正中</x:v>
      </x:c>
      <x:c r="I4" s="67" t="str">
        <x:v>一级</x:v>
      </x:c>
      <x:c r="J4" s="67" t="str">
        <x:v>城市正门</x:v>
      </x:c>
      <x:c r="K4" s="67" t="str">
        <x:v>TC-ROAD-0001</x:v>
      </x:c>
      <x:c r="L4" s="67" t="str"/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/>
      <x:c r="V4" s="67" t="str">
        <x:v>待定位</x:v>
      </x:c>
      <x:c r="W4" s="67" t="str"/>
      <x:c r="X4" s="67" t="str"/>
      <x:c r="Y4" s="67" t="str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TC-CHUNK-0001</x:v>
      </x:c>
      <x:c r="AD4" s="67" t="str">
        <x:v>正南曰明德門</x:v>
      </x:c>
      <x:c r="AE4" s="67" t="str">
        <x:v>史料直述</x:v>
      </x:c>
      <x:c r="AF4" s="67" t="n">
        <x:v>0.95</x:v>
      </x:c>
      <x:c r="AG4" s="67" t="str">
        <x:v>待审核</x:v>
      </x:c>
      <x:c r="AH4" s="67" t="str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89"/>
      <x:c r="AC5" s="89"/>
      <x:c r="AD5" s="89"/>
      <x:c r="AE5" s="89"/>
      <x:c r="AF5" s="89"/>
      <x:c r="AG5" s="89"/>
      <x:c r="AH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2"/>
      <x:c r="AC6" s="92"/>
      <x:c r="AD6" s="92"/>
      <x:c r="AE6" s="92"/>
      <x:c r="AF6" s="92"/>
      <x:c r="AG6" s="92"/>
      <x:c r="AH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2"/>
      <x:c r="AC7" s="92"/>
      <x:c r="AD7" s="92"/>
      <x:c r="AE7" s="92"/>
      <x:c r="AF7" s="92"/>
      <x:c r="AG7" s="92"/>
      <x:c r="AH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2"/>
      <x:c r="AC8" s="92"/>
      <x:c r="AD8" s="92"/>
      <x:c r="AE8" s="92"/>
      <x:c r="AF8" s="92"/>
      <x:c r="AG8" s="92"/>
      <x:c r="AH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TC-SCALE-0001</x:v>
      </x:c>
      <x:c r="B4" s="67" t="str">
        <x:v>TC-ROAD-0001</x:v>
      </x:c>
      <x:c r="C4" s="67" t="str">
        <x:v>朱雀大街</x:v>
      </x:c>
      <x:c r="D4" s="67" t="str">
        <x:v>TC-ROAD-0002</x:v>
      </x:c>
      <x:c r="E4" s="67" t="str">
        <x:v>普通街道</x:v>
      </x:c>
      <x:c r="F4" s="67" t="str">
        <x:v>宽度</x:v>
      </x:c>
      <x:c r="G4" s="97" t="n">
        <x:v>150</x:v>
      </x:c>
      <x:c r="H4" s="97" t="str">
        <x:v>步</x:v>
      </x:c>
      <x:c r="I4" s="97" t="n">
        <x:v>220.5</x:v>
      </x:c>
      <x:c r="J4" s="97" t="n">
        <x:v>100</x:v>
      </x:c>
      <x:c r="K4" s="97" t="str">
        <x:v>步</x:v>
      </x:c>
      <x:c r="L4" s="97" t="n">
        <x:v>147</x:v>
      </x:c>
      <x:c r="M4" s="97" t="str">
        <x:v>米</x:v>
      </x:c>
      <x:c r="N4" s="97" t="n">
        <x:f>IFERROR(I4/L4,"")</x:f>
        <x:v>1.5</x:v>
      </x:c>
      <x:c r="O4" s="67" t="str">
        <x:v>示例换算值，仅用于展示公式</x:v>
      </x:c>
      <x:c r="P4" s="67" t="str">
        <x:v>可比</x:v>
      </x:c>
      <x:c r="Q4" s="67" t="str">
        <x:v>同一换算标准</x:v>
      </x:c>
      <x:c r="R4" s="67" t="str">
        <x:v>实际换算系数待权威文献确认</x:v>
      </x:c>
      <x:c r="S4" s="67" t="str">
        <x:v>唐</x:v>
      </x:c>
      <x:c r="T4" s="67" t="str">
        <x:v>唐</x:v>
      </x:c>
      <x:c r="U4" s="67" t="str">
        <x:v>TC-REF-0001</x:v>
      </x:c>
      <x:c r="V4" s="67" t="str"/>
      <x:c r="W4" s="67" t="str"/>
      <x:c r="X4" s="67" t="str">
        <x:v>计算结果</x:v>
      </x:c>
      <x:c r="Y4" s="67" t="n">
        <x:v>0.6</x:v>
      </x:c>
      <x:c r="Z4" s="67" t="str">
        <x:v>待审核</x:v>
      </x:c>
      <x:c r="AA4" s="67" t="str">
        <x:v>示例数值不得作为正式结论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皇城邻近坊官署功能集中</x:v>
      </x:c>
      <x:c r="C4" s="67" t="str">
        <x:v>空间—功能</x:v>
      </x:c>
      <x:c r="D4" s="67" t="str">
        <x:v>皇城周边坊</x:v>
      </x:c>
      <x:c r="E4" s="67" t="str">
        <x:v>坊靠近皇城或主要官署道路</x:v>
      </x:c>
      <x:c r="F4" s="67" t="str">
        <x:v>官署及相关居住功能可能更集中</x:v>
      </x:c>
      <x:c r="G4" s="67" t="str"/>
      <x:c r="H4" s="67" t="str"/>
      <x:c r="I4" s="67" t="str"/>
      <x:c r="J4" s="67" t="str"/>
      <x:c r="K4" s="67" t="str"/>
      <x:c r="L4" s="67" t="str">
        <x:v>待补充至少两个正例</x:v>
      </x:c>
      <x:c r="M4" s="67" t="str">
        <x:v>待主动检索反例</x:v>
      </x:c>
      <x:c r="N4" s="67" t="str">
        <x:v>汇总位置与功能记录后进行比较</x:v>
      </x:c>
      <x:c r="O4" s="67" t="str">
        <x:v>唐</x:v>
      </x:c>
      <x:c r="P4" s="67" t="str">
        <x:v>唐</x:v>
      </x:c>
      <x:c r="Q4" s="67" t="str">
        <x:v>TC-REF-0001</x:v>
      </x:c>
      <x:c r="R4" s="67" t="str"/>
      <x:c r="S4" s="67" t="str"/>
      <x:c r="T4" s="67" t="str">
        <x:v>推导结论</x:v>
      </x:c>
      <x:c r="U4" s="67" t="n">
        <x:v>0.6</x:v>
      </x:c>
      <x:c r="V4" s="67" t="str">
        <x:v>待审核</x:v>
      </x:c>
      <x:c r="W4" s="67" t="str">
        <x:v>示例规则，不作为正式结论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下列5行是坐标换算示例，不代表模板预置的正式研究结论。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342" t="str">
        <x:v>唐长安城道路轴线序位（SENO-8C-V0.1试行）</x:v>
      </x:c>
      <x:c r="B1" s="342"/>
      <x:c r="C1" s="342"/>
      <x:c r="D1" s="342"/>
      <x:c r="E1" s="342"/>
      <x:c r="F1" s="342"/>
      <x:c r="G1" s="342"/>
      <x:c r="H1" s="342"/>
      <x:c r="I1" s="342"/>
      <x:c r="J1" s="342"/>
      <x:c r="K1" s="342"/>
    </x:row>
    <x:row r="3" ht="24" customHeight="1">
      <x:c r="A3" s="351" t="str">
        <x:v>南北向道路轴线（只编号坊列之间的9条内部轴线）</x:v>
      </x:c>
      <x:c r="B3" s="351"/>
      <x:c r="C3" s="351"/>
      <x:c r="D3" s="351"/>
      <x:c r="E3" s="351"/>
      <x:c r="G3" s="351" t="str">
        <x:v>东西向坊间道路轴线（13排坊之间共12条）</x:v>
      </x:c>
      <x:c r="H3" s="351"/>
      <x:c r="I3" s="351"/>
      <x:c r="J3" s="351"/>
      <x:c r="K3" s="351"/>
    </x:row>
    <x:row r="4" ht="24" customHeight="1">
      <x:c r="A4" s="348" t="str">
        <x:v>序位</x:v>
      </x:c>
      <x:c r="B4" s="348" t="str">
        <x:v>原图分界</x:v>
      </x:c>
      <x:c r="C4" s="348" t="str">
        <x:v>轴线代码</x:v>
      </x:c>
      <x:c r="D4" s="348" t="str">
        <x:v>grid_position</x:v>
      </x:c>
      <x:c r="E4" s="348" t="str">
        <x:v>说明</x:v>
      </x:c>
      <x:c r="G4" s="348" t="str">
        <x:v>序位</x:v>
      </x:c>
      <x:c r="H4" s="348" t="str">
        <x:v>原图分界</x:v>
      </x:c>
      <x:c r="I4" s="348" t="str">
        <x:v>轴线代码</x:v>
      </x:c>
      <x:c r="J4" s="348" t="str">
        <x:v>grid_position</x:v>
      </x:c>
      <x:c r="K4" s="34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355" t="str">
        <x:v>编号对象是“道路轴线”，不是道路实体：同一轴线上的承天门街、朱雀大街等不同路段仍应分别建立道路实体，但可共享NS-05。</x:v>
      </x:c>
      <x:c r="B19" s="355"/>
      <x:c r="C19" s="355"/>
      <x:c r="D19" s="355"/>
      <x:c r="E19" s="355"/>
      <x:c r="F19" s="355"/>
      <x:c r="G19" s="355"/>
      <x:c r="H19" s="355"/>
      <x:c r="I19" s="355"/>
      <x:c r="J19" s="355"/>
      <x:c r="K19" s="355"/>
    </x:row>
    <x:row r="20" ht="32" customHeight="1">
      <x:c r="A20" s="355" t="str">
        <x:v>横街位于第1排坊以北，不属于12条坊间东西向街道，标记为“坊间序位不适用”；道路偏折、终止和时期变化仍须另行记录。</x:v>
      </x:c>
      <x:c r="B20" s="355"/>
      <x:c r="C20" s="355"/>
      <x:c r="D20" s="355"/>
      <x:c r="E20" s="355"/>
      <x:c r="F20" s="355"/>
      <x:c r="G20" s="355"/>
      <x:c r="H20" s="355"/>
      <x:c r="I20" s="355"/>
      <x:c r="J20" s="355"/>
      <x:c r="K20" s="355"/>
    </x:row>
    <x:row r="21" ht="24" customHeight="1"/>
    <x:row r="22" ht="24" customHeight="1">
      <x:c r="A22" s="350" t="str">
        <x:v>主要南北向道路试编（图15核对）</x:v>
      </x:c>
      <x:c r="B22" s="350"/>
      <x:c r="C22" s="350"/>
      <x:c r="D22" s="350"/>
      <x:c r="E22" s="350"/>
      <x:c r="F22" s="350"/>
      <x:c r="G22" s="350"/>
      <x:c r="H22" s="350"/>
      <x:c r="I22" s="350"/>
      <x:c r="J22" s="350"/>
      <x:c r="K22" s="350"/>
    </x:row>
    <x:row r="23" ht="24" customHeight="1">
      <x:c r="A23" s="348" t="str">
        <x:v>road_key</x:v>
      </x:c>
      <x:c r="B23" s="348" t="str">
        <x:v>道路名称</x:v>
      </x:c>
      <x:c r="C23" s="348" t="str">
        <x:v>名称状态</x:v>
      </x:c>
      <x:c r="D23" s="348" t="str">
        <x:v>分界/轴线</x:v>
      </x:c>
      <x:c r="E23" s="348" t="str">
        <x:v>审核说明</x:v>
      </x:c>
      <x:c r="F23"/>
    </x:row>
    <x:row r="24" ht="24" customHeight="1">
      <x:c r="A24" s="212" t="str">
        <x:v>TC-ROAD-0002</x:v>
      </x:c>
      <x:c r="B24" s="212" t="str">
        <x:v>承天门街</x:v>
      </x:c>
      <x:c r="C24" s="212" t="str">
        <x:v>史料名称</x:v>
      </x:c>
      <x:c r="D24" s="212" t="str">
        <x:v>E|F / NS-05</x:v>
      </x:c>
      <x:c r="E24" s="212" t="str">
        <x:v>中央轴线北段；已录入</x:v>
      </x:c>
      <x:c r="F24"/>
    </x:row>
    <x:row r="25" ht="24" customHeight="1">
      <x:c r="A25" s="212" t="str">
        <x:v>TC-ROAD-0003</x:v>
      </x:c>
      <x:c r="B25" s="212" t="str">
        <x:v>朱雀大街</x:v>
      </x:c>
      <x:c r="C25" s="212" t="str">
        <x:v>常用名称</x:v>
      </x:c>
      <x:c r="D25" s="212" t="str">
        <x:v>E|F / NS-05</x:v>
      </x:c>
      <x:c r="E25" s="212" t="str">
        <x:v>朱雀门至明德门路段；与承天门街同轴但分实体</x:v>
      </x:c>
      <x:c r="F25"/>
    </x:row>
    <x:row r="26" ht="24" customHeight="1">
      <x:c r="A26" s="212" t="str">
        <x:v>TC-ROAD-0004</x:v>
      </x:c>
      <x:c r="B26" s="212" t="str">
        <x:v>安化门北向道路（暂名）</x:v>
      </x:c>
      <x:c r="C26" s="212" t="str">
        <x:v>项目暂名</x:v>
      </x:c>
      <x:c r="D26" s="212" t="str">
        <x:v>C|D / NS-03</x:v>
      </x:c>
      <x:c r="E26" s="212" t="str">
        <x:v>图15显示轴线；正式名称待文献确认</x:v>
      </x:c>
      <x:c r="F26"/>
    </x:row>
    <x:row r="27" ht="24" customHeight="1">
      <x:c r="A27" s="212" t="str">
        <x:v>TC-ROAD-0005</x:v>
      </x:c>
      <x:c r="B27" s="212" t="str">
        <x:v>启夏门北向道路（暂名）</x:v>
      </x:c>
      <x:c r="C27" s="212" t="str">
        <x:v>项目暂名</x:v>
      </x:c>
      <x:c r="D27" s="212" t="str">
        <x:v>G|H / NS-07</x:v>
      </x:c>
      <x:c r="E27" s="212" t="str">
        <x:v>图15显示轴线；正式名称待文献确认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
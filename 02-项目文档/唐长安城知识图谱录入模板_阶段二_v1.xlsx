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49f5619ee540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e5b03da0ee0741a8"/>
    <x:sheet xmlns:r="http://schemas.openxmlformats.org/officeDocument/2006/relationships" name="实体表" sheetId="2" r:id="R272c2026f3774ed1"/>
    <x:sheet xmlns:r="http://schemas.openxmlformats.org/officeDocument/2006/relationships" name="关系表" sheetId="3" r:id="R66c0b532cb1b4db1"/>
    <x:sheet xmlns:r="http://schemas.openxmlformats.org/officeDocument/2006/relationships" name="来源表" sheetId="4" r:id="R3367514d6ab14219"/>
    <x:sheet xmlns:r="http://schemas.openxmlformats.org/officeDocument/2006/relationships" name="史料片段" sheetId="5" r:id="R7ebf6711e5854bb6"/>
    <x:sheet xmlns:r="http://schemas.openxmlformats.org/officeDocument/2006/relationships" name="代码对照" sheetId="6" r:id="Re0d8c93f7c2c4d0a"/>
    <x:sheet xmlns:r="http://schemas.openxmlformats.org/officeDocument/2006/relationships" name="坊功能表" sheetId="7" r:id="Rc4810fd5f06a4063"/>
    <x:sheet xmlns:r="http://schemas.openxmlformats.org/officeDocument/2006/relationships" name="道路分级表" sheetId="8" r:id="R9eb155498cb7401f"/>
    <x:sheet xmlns:r="http://schemas.openxmlformats.org/officeDocument/2006/relationships" name="水渠表" sheetId="9" r:id="R3b502359b22c496a"/>
    <x:sheet xmlns:r="http://schemas.openxmlformats.org/officeDocument/2006/relationships" name="城门表" sheetId="10" r:id="R5da5c27656ae4c4e"/>
    <x:sheet xmlns:r="http://schemas.openxmlformats.org/officeDocument/2006/relationships" name="尺度关系表" sheetId="11" r:id="R206c6489ec014553"/>
    <x:sheet xmlns:r="http://schemas.openxmlformats.org/officeDocument/2006/relationships" name="功能分区规则" sheetId="12" r:id="R7819435de2ba474d"/>
    <x:sheet xmlns:r="http://schemas.openxmlformats.org/officeDocument/2006/relationships" name="坊间空间关系" sheetId="13" r:id="Rab9b829164294064"/>
    <x:sheet xmlns:r="http://schemas.openxmlformats.org/officeDocument/2006/relationships" name="转换规则" sheetId="14" r:id="Re8ab9f24158643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</x:numFmts>
  <x:fonts count="32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</x:fonts>
  <x:fills count="4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202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8380b1318749fd" /><Relationship Type="http://schemas.openxmlformats.org/officeDocument/2006/relationships/theme" Target="/xl/theme/theme1.xml" Id="R8be30356db9b4e28" /><Relationship Type="http://schemas.openxmlformats.org/officeDocument/2006/relationships/sharedStrings" Target="/xl/sharedStrings.xml" Id="R3bdce7428b0f40a5" /><Relationship Type="http://schemas.openxmlformats.org/officeDocument/2006/relationships/worksheet" Target="/xl/worksheets/sheet1.xml" Id="Re5b03da0ee0741a8" /><Relationship Type="http://schemas.openxmlformats.org/officeDocument/2006/relationships/worksheet" Target="/xl/worksheets/sheet2.xml" Id="R272c2026f3774ed1" /><Relationship Type="http://schemas.openxmlformats.org/officeDocument/2006/relationships/worksheet" Target="/xl/worksheets/sheet3.xml" Id="R66c0b532cb1b4db1" /><Relationship Type="http://schemas.openxmlformats.org/officeDocument/2006/relationships/worksheet" Target="/xl/worksheets/sheet4.xml" Id="R3367514d6ab14219" /><Relationship Type="http://schemas.openxmlformats.org/officeDocument/2006/relationships/worksheet" Target="/xl/worksheets/sheet5.xml" Id="R7ebf6711e5854bb6" /><Relationship Type="http://schemas.openxmlformats.org/officeDocument/2006/relationships/worksheet" Target="/xl/worksheets/sheet6.xml" Id="Re0d8c93f7c2c4d0a" /><Relationship Type="http://schemas.openxmlformats.org/officeDocument/2006/relationships/worksheet" Target="/xl/worksheets/sheet7.xml" Id="Rc4810fd5f06a4063" /><Relationship Type="http://schemas.openxmlformats.org/officeDocument/2006/relationships/worksheet" Target="/xl/worksheets/sheet8.xml" Id="R9eb155498cb7401f" /><Relationship Type="http://schemas.openxmlformats.org/officeDocument/2006/relationships/worksheet" Target="/xl/worksheets/sheet9.xml" Id="R3b502359b22c496a" /><Relationship Type="http://schemas.openxmlformats.org/officeDocument/2006/relationships/worksheet" Target="/xl/worksheets/sheet10.xml" Id="R5da5c27656ae4c4e" /><Relationship Type="http://schemas.openxmlformats.org/officeDocument/2006/relationships/worksheet" Target="/xl/worksheets/sheet11.xml" Id="R206c6489ec014553" /><Relationship Type="http://schemas.openxmlformats.org/officeDocument/2006/relationships/worksheet" Target="/xl/worksheets/sheet12.xml" Id="R7819435de2ba474d" /><Relationship Type="http://schemas.openxmlformats.org/officeDocument/2006/relationships/worksheet" Target="/xl/worksheets/sheet13.xml" Id="Rab9b829164294064" /><Relationship Type="http://schemas.openxmlformats.org/officeDocument/2006/relationships/worksheet" Target="/xl/worksheets/sheet14.xml" Id="Re8ab9f2415864322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7514fecd66948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f1bd1d9fa5a46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0b5501c776b457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3100d1c77a544d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用途：统一录入通用知识图谱数据、六张核心专题表及两张辅助表。专题数据经“转换规则”自动生成实体和关系；坊间空间关系单独录入后统一进入关系表。所有推导结论必须保留证据及审核状态。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6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按任务分工填写六张核心专题表；需要表达坊与坊的位置时填写“坊间空间关系”。</x:v>
      </x:c>
      <x:c r="C10" s="26" t="str">
        <x:v>六类核心数据与坊间空间关系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审核人员修改 review_status；争议数据保留，不强行合并。</x:v>
      </x:c>
      <x:c r="C12" s="26" t="str">
        <x:v>审核结论</x:v>
      </x:c>
      <x:c r="D12"/>
      <x:c r="E12" s="52"/>
      <x:c r="F12" s="53"/>
      <x:c r="G12" s="53"/>
      <x:c r="H12" s="54"/>
    </x:row>
    <x:row r="14" ht="30" customHeight="1">
      <x:c r="A14" s="57" t="str">
        <x:v>推荐顺序：来源表 → 史料片段 → 六张核心专题表/坊间空间关系 → 人工审核 → 按“转换规则”生成实体表与关系表。不要同时手工重复填写专题表和通用表。</x:v>
      </x:c>
      <x:c r="B14" s="57"/>
      <x:c r="C14" s="57"/>
      <x:c r="D14" s="57"/>
      <x:c r="E14" s="57"/>
      <x:c r="F14" s="57"/>
      <x:c r="G14" s="57"/>
      <x:c r="H14" s="57"/>
    </x:row>
  </x:sheetData>
  <x:mergeCells>
    <x:mergeCell ref="A1:H1"/>
    <x:mergeCell ref="A3:H3"/>
    <x:mergeCell ref="E5:H5"/>
    <x:mergeCell ref="E6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>
        <x:v>Gate</x:v>
      </x:c>
      <x:c r="E4" s="67" t="str"/>
      <x:c r="F4" s="67" t="str">
        <x:v>外郭城门</x:v>
      </x:c>
      <x:c r="G4" s="67" t="str">
        <x:v>唐</x:v>
      </x:c>
      <x:c r="H4" s="67" t="str">
        <x:v>唐</x:v>
      </x:c>
      <x:c r="I4" s="67" t="str">
        <x:v>唐长安城外郭城正南门</x:v>
      </x:c>
      <x:c r="J4" s="67" t="str">
        <x:v>外郭城南面正中</x:v>
      </x:c>
      <x:c r="K4" s="67" t="str">
        <x:v>TC-REF-0001</x:v>
      </x:c>
      <x:c r="L4" s="67" t="str">
        <x:v>TC-CHUNK-0001</x:v>
      </x:c>
      <x:c r="M4" s="67" t="n">
        <x:v>0.95</x:v>
      </x:c>
      <x:c r="N4" s="67" t="str">
        <x:v>待审核</x:v>
      </x:c>
      <x:c r="O4" s="67" t="str">
        <x:v>正南曰明德門</x:v>
      </x:c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514fecd66948f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TC-REL-0001</x:v>
      </x:c>
      <x:c r="B4" s="67" t="str">
        <x:v>TC-ROAD-0001</x:v>
      </x:c>
      <x:c r="C4" s="67" t="str">
        <x:v>朱雀大街</x:v>
      </x:c>
      <x:c r="D4" s="67" t="str">
        <x:v>TC-GATE-0001</x:v>
      </x:c>
      <x:c r="E4" s="67" t="str">
        <x:v>明德门</x:v>
      </x:c>
      <x:c r="F4" s="67" t="str">
        <x:v>CONNECTS_TO</x:v>
      </x:c>
      <x:c r="G4" s="67" t="str">
        <x:v>朱雀大街向南连接明德门</x:v>
      </x:c>
      <x:c r="H4" s="67" t="str">
        <x:v>TC-REF-0001</x:v>
      </x:c>
      <x:c r="I4" s="67" t="str">
        <x:v>TC-CHUNK-0001</x:v>
      </x:c>
      <x:c r="J4" s="67" t="n">
        <x:v>0.95</x:v>
      </x:c>
      <x:c r="K4" s="67" t="str">
        <x:v>唐</x:v>
      </x:c>
      <x:c r="L4" s="67" t="str">
        <x:v>唐</x:v>
      </x:c>
      <x:c r="M4" s="67" t="str">
        <x:v>朱雀門街南出明德門</x:v>
      </x:c>
      <x:c r="N4" s="67" t="str">
        <x:v>史料直述</x:v>
      </x:c>
      <x:c r="O4" s="67" t="str">
        <x:v>待审核</x:v>
      </x:c>
      <x:c r="P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1bd1d9fa5a461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唐两京城坊考</x:v>
      </x:c>
      <x:c r="C4" s="67" t="str">
        <x:v>古籍</x:v>
      </x:c>
      <x:c r="D4" s="67" t="str">
        <x:v>徐松</x:v>
      </x:c>
      <x:c r="E4" s="67" t="str">
        <x:v>校勘本</x:v>
      </x:c>
      <x:c r="F4" s="67" t="str"/>
      <x:c r="G4" s="67" t="n">
        <x:v>1845</x:v>
      </x:c>
      <x:c r="H4" s="67" t="str">
        <x:v>卷一</x:v>
      </x:c>
      <x:c r="I4" s="67" t="str"/>
      <x:c r="J4" s="67" t="str"/>
      <x:c r="K4" s="67" t="str">
        <x:v>03-原始文献/唐两京城坊考_徐松</x:v>
      </x:c>
      <x:c r="L4" s="67" t="str">
        <x:v>A</x:v>
      </x:c>
      <x:c r="M4" s="67" t="str">
        <x:v>待审核</x:v>
      </x:c>
      <x:c r="N4" s="67" t="str">
        <x:v>城市名称、方位与沿革的基础来源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b5501c776b457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TC-CHUNK-0001</x:v>
      </x:c>
      <x:c r="B4" s="67" t="str">
        <x:v>TC-REF-0001</x:v>
      </x:c>
      <x:c r="C4" s="67" t="str">
        <x:v>正南曰明德門。</x:v>
      </x:c>
      <x:c r="D4" s="67" t="str">
        <x:v>外郭城</x:v>
      </x:c>
      <x:c r="E4" s="67" t="str">
        <x:v>卷一</x:v>
      </x:c>
      <x:c r="F4" s="67" t="str"/>
      <x:c r="G4" s="67" t="str">
        <x:v>TC-GATE-0001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支持明德门名称与方位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100d1c77a544d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 格式为 (x,y)，x 从西向东、y 从南向北；必须注明所依据的复原图或网格版本。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 s="201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 s="201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 s="201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 s="201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 s="201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</x:row>
  </x:sheetData>
  <x:mergeCells>
    <x:mergeCell ref="A1:AC1"/>
    <x:mergeCell ref="A2:AC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的字段为必填；南北向道路写“自西向东第X条”，东西向道路写“自南向北第Y条”；序位必须有复原图或文献依据。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</x:row>
    <x:row r="4" ht="42" customHeight="1">
      <x:c r="A4" s="67" t="str">
        <x:v>TC-ROAD-0001</x:v>
      </x:c>
      <x:c r="B4" s="67" t="str">
        <x:v>朱雀大街</x:v>
      </x:c>
      <x:c r="C4" s="67" t="str">
        <x:v>朱雀門街</x:v>
      </x:c>
      <x:c r="D4" s="67" t="str">
        <x:v>朱雀门街</x:v>
      </x:c>
      <x:c r="E4" s="67" t="str">
        <x:v>一级</x:v>
      </x:c>
      <x:c r="F4" s="67" t="str">
        <x:v>南北主干道</x:v>
      </x:c>
      <x:c r="G4" s="67" t="str">
        <x:v>南北</x:v>
      </x:c>
      <x:c r="H4" s="67" t="str">
        <x:v>TC-GATE-0002</x:v>
      </x:c>
      <x:c r="I4" s="67" t="str">
        <x:v>TC-GATE-0001</x:v>
      </x:c>
      <x:c r="J4" s="67" t="str">
        <x:v>TC-GATE-0002,TC-GATE-0001</x:v>
      </x:c>
      <x:c r="K4" s="67" t="str"/>
      <x:c r="L4" s="67" t="n">
        <x:v>150</x:v>
      </x:c>
      <x:c r="M4" s="67" t="str">
        <x:v>步</x:v>
      </x:c>
      <x:c r="N4" s="67" t="str"/>
      <x:c r="O4" s="67" t="str">
        <x:v>待确定唐代步制后换算</x:v>
      </x:c>
      <x:c r="P4" s="67" t="str"/>
      <x:c r="Q4" s="67" t="str">
        <x:v>唐</x:v>
      </x:c>
      <x:c r="R4" s="67" t="str">
        <x:v>唐</x:v>
      </x:c>
      <x:c r="S4" s="67" t="str">
        <x:v>TC-REF-0001</x:v>
      </x:c>
      <x:c r="T4" s="67" t="str">
        <x:v>TC-CHUNK-0003</x:v>
      </x:c>
      <x:c r="U4" s="67" t="str">
        <x:v>東西廣百五十步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标准化宽度暂不填写</x:v>
      </x:c>
      <x:c r="Z4" s="201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 s="201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 s="201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 s="201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 s="201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</x:row>
  </x:sheetData>
  <x:mergeCells>
    <x:mergeCell ref="A1:Z1"/>
    <x:mergeCell ref="A2:Z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 t="str"/>
      <x:c r="E4" s="67" t="str">
        <x:v>城市干渠</x:v>
      </x:c>
      <x:c r="F4" s="67" t="str"/>
      <x:c r="G4" s="67" t="str"/>
      <x:c r="H4" s="67" t="str">
        <x:v>由南向北</x:v>
      </x:c>
      <x:c r="I4" s="67" t="str"/>
      <x:c r="J4" s="67" t="str"/>
      <x:c r="K4" s="67" t="str"/>
      <x:c r="L4" s="67" t="str">
        <x:v>宫苑供水</x:v>
      </x:c>
      <x:c r="M4" s="67" t="str">
        <x:v>东内苑、兴庆宫等</x:v>
      </x:c>
      <x:c r="N4" s="67" t="str"/>
      <x:c r="O4" s="67" t="str"/>
      <x:c r="P4" s="67" t="str">
        <x:v>唐</x:v>
      </x:c>
      <x:c r="Q4" s="67" t="str">
        <x:v>唐</x:v>
      </x:c>
      <x:c r="R4" s="67" t="str">
        <x:v>TC-REF-0001</x:v>
      </x:c>
      <x:c r="S4" s="67" t="str">
        <x:v>TC-CHUNK-0004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经过范围与实际供水范围需分别核实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/>
      <x:c r="E4" s="67" t="str">
        <x:v>外郭城门</x:v>
      </x:c>
      <x:c r="F4" s="67" t="str">
        <x:v>TC-BUILDING-0001</x:v>
      </x:c>
      <x:c r="G4" s="67" t="str">
        <x:v>南</x:v>
      </x:c>
      <x:c r="H4" s="67" t="str">
        <x:v>外郭城南面正中</x:v>
      </x:c>
      <x:c r="I4" s="67" t="str">
        <x:v>一级</x:v>
      </x:c>
      <x:c r="J4" s="67" t="str">
        <x:v>城市正门</x:v>
      </x:c>
      <x:c r="K4" s="67" t="str">
        <x:v>TC-ROAD-0001</x:v>
      </x:c>
      <x:c r="L4" s="67" t="str"/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/>
      <x:c r="V4" s="67" t="str">
        <x:v>待定位</x:v>
      </x:c>
      <x:c r="W4" s="67" t="str"/>
      <x:c r="X4" s="67" t="str"/>
      <x:c r="Y4" s="67" t="str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TC-CHUNK-0001</x:v>
      </x:c>
      <x:c r="AD4" s="67" t="str">
        <x:v>正南曰明德門</x:v>
      </x:c>
      <x:c r="AE4" s="67" t="str">
        <x:v>史料直述</x:v>
      </x:c>
      <x:c r="AF4" s="67" t="n">
        <x:v>0.95</x:v>
      </x:c>
      <x:c r="AG4" s="67" t="str">
        <x:v>待审核</x:v>
      </x:c>
      <x:c r="AH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TC-SCALE-0001</x:v>
      </x:c>
      <x:c r="B4" s="67" t="str">
        <x:v>TC-ROAD-0001</x:v>
      </x:c>
      <x:c r="C4" s="67" t="str">
        <x:v>朱雀大街</x:v>
      </x:c>
      <x:c r="D4" s="67" t="str">
        <x:v>TC-ROAD-0002</x:v>
      </x:c>
      <x:c r="E4" s="67" t="str">
        <x:v>普通街道</x:v>
      </x:c>
      <x:c r="F4" s="67" t="str">
        <x:v>宽度</x:v>
      </x:c>
      <x:c r="G4" s="97" t="n">
        <x:v>150</x:v>
      </x:c>
      <x:c r="H4" s="97" t="str">
        <x:v>步</x:v>
      </x:c>
      <x:c r="I4" s="97" t="n">
        <x:v>220.5</x:v>
      </x:c>
      <x:c r="J4" s="97" t="n">
        <x:v>100</x:v>
      </x:c>
      <x:c r="K4" s="97" t="str">
        <x:v>步</x:v>
      </x:c>
      <x:c r="L4" s="97" t="n">
        <x:v>147</x:v>
      </x:c>
      <x:c r="M4" s="97" t="str">
        <x:v>米</x:v>
      </x:c>
      <x:c r="N4" s="97" t="n">
        <x:f>IFERROR(I4/L4,"")</x:f>
        <x:v>1.5</x:v>
      </x:c>
      <x:c r="O4" s="67" t="str">
        <x:v>示例换算值，仅用于展示公式</x:v>
      </x:c>
      <x:c r="P4" s="67" t="str">
        <x:v>可比</x:v>
      </x:c>
      <x:c r="Q4" s="67" t="str">
        <x:v>同一换算标准</x:v>
      </x:c>
      <x:c r="R4" s="67" t="str">
        <x:v>实际换算系数待权威文献确认</x:v>
      </x:c>
      <x:c r="S4" s="67" t="str">
        <x:v>唐</x:v>
      </x:c>
      <x:c r="T4" s="67" t="str">
        <x:v>唐</x:v>
      </x:c>
      <x:c r="U4" s="67" t="str">
        <x:v>TC-REF-0001</x:v>
      </x:c>
      <x:c r="V4" s="67" t="str"/>
      <x:c r="W4" s="67" t="str"/>
      <x:c r="X4" s="67" t="str">
        <x:v>计算结果</x:v>
      </x:c>
      <x:c r="Y4" s="67" t="n">
        <x:v>0.6</x:v>
      </x:c>
      <x:c r="Z4" s="67" t="str">
        <x:v>待审核</x:v>
      </x:c>
      <x:c r="AA4" s="67" t="str">
        <x:v>示例数值不得作为正式结论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皇城邻近坊官署功能集中</x:v>
      </x:c>
      <x:c r="C4" s="67" t="str">
        <x:v>空间—功能</x:v>
      </x:c>
      <x:c r="D4" s="67" t="str">
        <x:v>皇城周边坊</x:v>
      </x:c>
      <x:c r="E4" s="67" t="str">
        <x:v>坊靠近皇城或主要官署道路</x:v>
      </x:c>
      <x:c r="F4" s="67" t="str">
        <x:v>官署及相关居住功能可能更集中</x:v>
      </x:c>
      <x:c r="G4" s="67" t="str"/>
      <x:c r="H4" s="67" t="str"/>
      <x:c r="I4" s="67" t="str"/>
      <x:c r="J4" s="67" t="str"/>
      <x:c r="K4" s="67" t="str"/>
      <x:c r="L4" s="67" t="str">
        <x:v>待补充至少两个正例</x:v>
      </x:c>
      <x:c r="M4" s="67" t="str">
        <x:v>待主动检索反例</x:v>
      </x:c>
      <x:c r="N4" s="67" t="str">
        <x:v>汇总位置与功能记录后进行比较</x:v>
      </x:c>
      <x:c r="O4" s="67" t="str">
        <x:v>唐</x:v>
      </x:c>
      <x:c r="P4" s="67" t="str">
        <x:v>唐</x:v>
      </x:c>
      <x:c r="Q4" s="67" t="str">
        <x:v>TC-REF-0001</x:v>
      </x:c>
      <x:c r="R4" s="67" t="str"/>
      <x:c r="S4" s="67" t="str"/>
      <x:c r="T4" s="67" t="str">
        <x:v>推导结论</x:v>
      </x:c>
      <x:c r="U4" s="67" t="n">
        <x:v>0.6</x:v>
      </x:c>
      <x:c r="V4" s="67" t="str">
        <x:v>待审核</x:v>
      </x:c>
      <x:c r="W4" s="67" t="str">
        <x:v>示例规则，不作为正式结论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
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2f3e2074bd49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7b91c28730894e61"/>
    <x:sheet xmlns:r="http://schemas.openxmlformats.org/officeDocument/2006/relationships" name="实体表" sheetId="2" r:id="R8ea2fa8b2fde4ef5"/>
    <x:sheet xmlns:r="http://schemas.openxmlformats.org/officeDocument/2006/relationships" name="关系表" sheetId="3" r:id="Ra73c945214364c19"/>
    <x:sheet xmlns:r="http://schemas.openxmlformats.org/officeDocument/2006/relationships" name="来源表" sheetId="4" r:id="R92258d816cf8411c"/>
    <x:sheet xmlns:r="http://schemas.openxmlformats.org/officeDocument/2006/relationships" name="史料片段" sheetId="5" r:id="Raac0978e291547c1"/>
    <x:sheet xmlns:r="http://schemas.openxmlformats.org/officeDocument/2006/relationships" name="代码对照" sheetId="6" r:id="Red098563def84562"/>
    <x:sheet xmlns:r="http://schemas.openxmlformats.org/officeDocument/2006/relationships" name="坊功能表" sheetId="7" r:id="Rfe3384dc37ad49ea"/>
    <x:sheet xmlns:r="http://schemas.openxmlformats.org/officeDocument/2006/relationships" name="道路分级表" sheetId="8" r:id="R9cf7e319172c46b9"/>
    <x:sheet xmlns:r="http://schemas.openxmlformats.org/officeDocument/2006/relationships" name="水渠表" sheetId="9" r:id="R87cd025eff1141ce"/>
    <x:sheet xmlns:r="http://schemas.openxmlformats.org/officeDocument/2006/relationships" name="城门表" sheetId="10" r:id="R6f0f3d1bf9cf47b1"/>
    <x:sheet xmlns:r="http://schemas.openxmlformats.org/officeDocument/2006/relationships" name="尺度关系表" sheetId="11" r:id="R65c4c22b3c3b47ed"/>
    <x:sheet xmlns:r="http://schemas.openxmlformats.org/officeDocument/2006/relationships" name="功能分区规则" sheetId="12" r:id="Re04ebcfe0abd49a8"/>
    <x:sheet xmlns:r="http://schemas.openxmlformats.org/officeDocument/2006/relationships" name="坊间空间关系" sheetId="13" r:id="R48c87f0457334101"/>
    <x:sheet xmlns:r="http://schemas.openxmlformats.org/officeDocument/2006/relationships" name="转换规则" sheetId="14" r:id="Recf2733ddf7e4f83"/>
    <x:sheet xmlns:r="http://schemas.openxmlformats.org/officeDocument/2006/relationships" name="坐标基准" sheetId="15" r:id="R8fca58b663a9459f"/>
    <x:sheet xmlns:r="http://schemas.openxmlformats.org/officeDocument/2006/relationships" name="道路轴线" sheetId="16" r:id="R5911b80b728744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</x:numFmts>
  <x:fonts count="3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</x:fonts>
  <x:fills count="76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</x:fills>
  <x:borders count="45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292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41dfc0474a47c6" /><Relationship Type="http://schemas.openxmlformats.org/officeDocument/2006/relationships/theme" Target="/xl/theme/theme1.xml" Id="R6179da961c054f8b" /><Relationship Type="http://schemas.openxmlformats.org/officeDocument/2006/relationships/sharedStrings" Target="/xl/sharedStrings.xml" Id="Rb73a0a18f6484c2e" /><Relationship Type="http://schemas.openxmlformats.org/officeDocument/2006/relationships/worksheet" Target="/xl/worksheets/sheet1.xml" Id="R7b91c28730894e61" /><Relationship Type="http://schemas.openxmlformats.org/officeDocument/2006/relationships/worksheet" Target="/xl/worksheets/sheet2.xml" Id="R8ea2fa8b2fde4ef5" /><Relationship Type="http://schemas.openxmlformats.org/officeDocument/2006/relationships/worksheet" Target="/xl/worksheets/sheet3.xml" Id="Ra73c945214364c19" /><Relationship Type="http://schemas.openxmlformats.org/officeDocument/2006/relationships/worksheet" Target="/xl/worksheets/sheet4.xml" Id="R92258d816cf8411c" /><Relationship Type="http://schemas.openxmlformats.org/officeDocument/2006/relationships/worksheet" Target="/xl/worksheets/sheet5.xml" Id="Raac0978e291547c1" /><Relationship Type="http://schemas.openxmlformats.org/officeDocument/2006/relationships/worksheet" Target="/xl/worksheets/sheet6.xml" Id="Red098563def84562" /><Relationship Type="http://schemas.openxmlformats.org/officeDocument/2006/relationships/worksheet" Target="/xl/worksheets/sheet7.xml" Id="Rfe3384dc37ad49ea" /><Relationship Type="http://schemas.openxmlformats.org/officeDocument/2006/relationships/worksheet" Target="/xl/worksheets/sheet8.xml" Id="R9cf7e319172c46b9" /><Relationship Type="http://schemas.openxmlformats.org/officeDocument/2006/relationships/worksheet" Target="/xl/worksheets/sheet9.xml" Id="R87cd025eff1141ce" /><Relationship Type="http://schemas.openxmlformats.org/officeDocument/2006/relationships/worksheet" Target="/xl/worksheets/sheet10.xml" Id="R6f0f3d1bf9cf47b1" /><Relationship Type="http://schemas.openxmlformats.org/officeDocument/2006/relationships/worksheet" Target="/xl/worksheets/sheet11.xml" Id="R65c4c22b3c3b47ed" /><Relationship Type="http://schemas.openxmlformats.org/officeDocument/2006/relationships/worksheet" Target="/xl/worksheets/sheet12.xml" Id="Re04ebcfe0abd49a8" /><Relationship Type="http://schemas.openxmlformats.org/officeDocument/2006/relationships/worksheet" Target="/xl/worksheets/sheet13.xml" Id="R48c87f0457334101" /><Relationship Type="http://schemas.openxmlformats.org/officeDocument/2006/relationships/worksheet" Target="/xl/worksheets/sheet14.xml" Id="Recf2733ddf7e4f83" /><Relationship Type="http://schemas.openxmlformats.org/officeDocument/2006/relationships/worksheet" Target="/xl/worksheets/sheet15.xml" Id="R8fca58b663a9459f" /><Relationship Type="http://schemas.openxmlformats.org/officeDocument/2006/relationships/worksheet" Target="/xl/worksheets/sheet16.xml" Id="R5911b80b728744f5" /></Relationships>
</file>

<file path=xl/tables/table1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e64851711a841c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65e3a84c0b4475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f603d92400646a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2d0c79ba1cd4cb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8" hidden="0" customWidth="1"/>
    <x:col min="2" max="2" width="44" hidden="0" customWidth="1"/>
    <x:col min="3" max="3" width="22" hidden="0" customWidth="1"/>
    <x:col min="4" max="8" width="18" customWidth="1"/>
    <x:col min="4" max="4" width="4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唐长安城知识图谱数据录入模板 · 阶段二 v1（含转换规则）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用途：统一录入通用知识图谱数据、六张核心专题表及两张辅助表。专题数据经“转换规则”自动生成实体和关系；坊间空间关系单独录入后统一进入关系表。所有推导结论必须保留证据及审核状态。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6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坊网格坐标与道路网格序位属于历史复原位置，不等同现代经纬度；必须记录复原图或网格版本。
9. 网格位置须按“坐标基准”表换算，并同时保留grid_reference与original_grid_code；换底图时重新计算，不覆盖旧依据。
10. 道路序位按“坐标基准”的道路轴线表填写；同一轴线上的不同路段仍分别建道路实体，不得仅凭同轴判断为同一路。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按任务分工填写六张核心专题表；需要表达坊与坊的位置时填写“坊间空间关系”。</x:v>
      </x:c>
      <x:c r="C10" s="26" t="str">
        <x:v>六类核心数据与坊间空间关系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审核人员修改 review_status；争议数据保留，不强行合并。</x:v>
      </x:c>
      <x:c r="C12" s="26" t="str">
        <x:v>审核结论</x:v>
      </x:c>
      <x:c r="D12"/>
      <x:c r="E12" s="52"/>
      <x:c r="F12" s="53"/>
      <x:c r="G12" s="53"/>
      <x:c r="H12" s="54"/>
    </x:row>
    <x:row r="14" ht="30" customHeight="1">
      <x:c r="A14" s="57" t="str">
        <x:v>推荐顺序：来源表 → 史料片段 → 六张核心专题表/坊间空间关系 → 人工审核 → 按“转换规则”生成实体表与关系表。不要同时手工重复填写专题表和通用表。</x:v>
      </x:c>
      <x:c r="B14" s="57"/>
      <x:c r="C14" s="57"/>
      <x:c r="D14" s="57"/>
      <x:c r="E14" s="57"/>
      <x:c r="F14" s="57"/>
      <x:c r="G14" s="57"/>
      <x:c r="H14" s="57"/>
    </x:row>
  </x:sheetData>
  <x:mergeCells>
    <x:mergeCell ref="A1:H1"/>
    <x:mergeCell ref="A3:H3"/>
    <x:mergeCell ref="E5:H5"/>
    <x:mergeCell ref="E6:H12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>
        <x:v>Gate</x:v>
      </x:c>
      <x:c r="E4" s="67" t="str"/>
      <x:c r="F4" s="67" t="str">
        <x:v>外郭城门</x:v>
      </x:c>
      <x:c r="G4" s="67" t="str">
        <x:v>唐</x:v>
      </x:c>
      <x:c r="H4" s="67" t="str">
        <x:v>唐</x:v>
      </x:c>
      <x:c r="I4" s="67" t="str">
        <x:v>唐长安城外郭城正南门</x:v>
      </x:c>
      <x:c r="J4" s="67" t="str">
        <x:v>外郭城南面正中</x:v>
      </x:c>
      <x:c r="K4" s="67" t="str">
        <x:v>TC-REF-0001</x:v>
      </x:c>
      <x:c r="L4" s="67" t="str">
        <x:v>TC-CHUNK-0001</x:v>
      </x:c>
      <x:c r="M4" s="67" t="n">
        <x:v>0.95</x:v>
      </x:c>
      <x:c r="N4" s="67" t="str">
        <x:v>待审核</x:v>
      </x:c>
      <x:c r="O4" s="67" t="str">
        <x:v>正南曰明德門</x:v>
      </x:c>
    </x:row>
    <x:row r="5" ht="28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64851711a841c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TC-REL-0001</x:v>
      </x:c>
      <x:c r="B4" s="67" t="str">
        <x:v>TC-ROAD-0001</x:v>
      </x:c>
      <x:c r="C4" s="67" t="str">
        <x:v>朱雀大街</x:v>
      </x:c>
      <x:c r="D4" s="67" t="str">
        <x:v>TC-GATE-0001</x:v>
      </x:c>
      <x:c r="E4" s="67" t="str">
        <x:v>明德门</x:v>
      </x:c>
      <x:c r="F4" s="67" t="str">
        <x:v>CONNECTS_TO</x:v>
      </x:c>
      <x:c r="G4" s="67" t="str">
        <x:v>朱雀大街向南连接明德门</x:v>
      </x:c>
      <x:c r="H4" s="67" t="str">
        <x:v>TC-REF-0001</x:v>
      </x:c>
      <x:c r="I4" s="67" t="str">
        <x:v>TC-CHUNK-0001</x:v>
      </x:c>
      <x:c r="J4" s="67" t="n">
        <x:v>0.95</x:v>
      </x:c>
      <x:c r="K4" s="67" t="str">
        <x:v>唐</x:v>
      </x:c>
      <x:c r="L4" s="67" t="str">
        <x:v>唐</x:v>
      </x:c>
      <x:c r="M4" s="67" t="str">
        <x:v>朱雀門街南出明德門</x:v>
      </x:c>
      <x:c r="N4" s="67" t="str">
        <x:v>史料直述</x:v>
      </x:c>
      <x:c r="O4" s="67" t="str">
        <x:v>待审核</x:v>
      </x:c>
      <x:c r="P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65e3a84c0b4475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唐两京城坊考</x:v>
      </x:c>
      <x:c r="C4" s="67" t="str">
        <x:v>古籍</x:v>
      </x:c>
      <x:c r="D4" s="67" t="str">
        <x:v>徐松</x:v>
      </x:c>
      <x:c r="E4" s="67" t="str">
        <x:v>校勘本</x:v>
      </x:c>
      <x:c r="F4" s="67" t="str"/>
      <x:c r="G4" s="67" t="n">
        <x:v>1845</x:v>
      </x:c>
      <x:c r="H4" s="67" t="str">
        <x:v>卷一</x:v>
      </x:c>
      <x:c r="I4" s="67" t="str"/>
      <x:c r="J4" s="67" t="str"/>
      <x:c r="K4" s="67" t="str">
        <x:v>03-原始文献/唐两京城坊考_徐松</x:v>
      </x:c>
      <x:c r="L4" s="67" t="str">
        <x:v>A</x:v>
      </x:c>
      <x:c r="M4" s="67" t="str">
        <x:v>待审核</x:v>
      </x:c>
      <x:c r="N4" s="67" t="str">
        <x:v>城市名称、方位与沿革的基础来源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603d92400646a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TC-CHUNK-0001</x:v>
      </x:c>
      <x:c r="B4" s="67" t="str">
        <x:v>TC-REF-0001</x:v>
      </x:c>
      <x:c r="C4" s="67" t="str">
        <x:v>正南曰明德門。</x:v>
      </x:c>
      <x:c r="D4" s="67" t="str">
        <x:v>外郭城</x:v>
      </x:c>
      <x:c r="E4" s="67" t="str">
        <x:v>卷一</x:v>
      </x:c>
      <x:c r="F4" s="67" t="str"/>
      <x:c r="G4" s="67" t="str">
        <x:v>TC-GATE-0001</x:v>
      </x:c>
      <x:c r="H4" s="67" t="str">
        <x:v>史料直述</x:v>
      </x:c>
      <x:c r="I4" s="67" t="n">
        <x:v>0.95</x:v>
      </x:c>
      <x:c r="J4" s="67" t="str">
        <x:v>待审核</x:v>
      </x:c>
      <x:c r="K4" s="67" t="str">
        <x:v>支持明德门名称与方位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d0c79ba1cd4cb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grid_version</x:v>
      </x:c>
      <x:c r="B76" s="212" t="str">
        <x:v>SENO-8C-V0.1</x:v>
      </x:c>
      <x:c r="C76" s="212" t="str">
        <x:v>妹尾达彦8世纪前半期复原图试行网格</x:v>
      </x:c>
      <x:c r="D76" s="212" t="str">
        <x:v>坐标基准/坊功能表/道路分级表</x:v>
      </x:c>
      <x:c r="E76" s="212" t="str">
        <x:v>逻辑网格；正式发布前核对原书高清图</x:v>
      </x:c>
    </x:row>
    <x:row r="77">
      <x:c r="A77" s="212" t="str">
        <x:v>grid_field</x:v>
      </x:c>
      <x:c r="B77" s="212" t="str">
        <x:v>grid_reference</x:v>
      </x:c>
      <x:c r="C77" s="212" t="str">
        <x:v>底图版本</x:v>
      </x:c>
      <x:c r="D77" s="212" t="str">
        <x:v>坊功能表/道路分级表</x:v>
      </x:c>
      <x:c r="E77" s="212" t="str">
        <x:v>填写稳定版本号，如SENO-8C-V0.1</x:v>
      </x:c>
    </x:row>
    <x:row r="78">
      <x:c r="A78" s="212" t="str">
        <x:v>grid_field</x:v>
      </x:c>
      <x:c r="B78" s="212" t="str">
        <x:v>original_grid_code</x:v>
      </x:c>
      <x:c r="C78" s="212" t="str">
        <x:v>原图格号或编号</x:v>
      </x:c>
      <x:c r="D78" s="212" t="str">
        <x:v>坊功能表/道路分级表</x:v>
      </x:c>
      <x:c r="E78" s="212" t="str">
        <x:v>例如A1；用于重新换算与人工复核</x:v>
      </x:c>
    </x:row>
    <x:row r="79">
      <x:c r="A79" s="212" t="str">
        <x:v>road_grid_rule</x:v>
      </x:c>
      <x:c r="B79" s="212" t="str">
        <x:v>NS-ORDER</x:v>
      </x:c>
      <x:c r="C79" s="212" t="str">
        <x:v>南北向道路轴线序位</x:v>
      </x:c>
      <x:c r="D79" s="212" t="str">
        <x:v>坐标基准/道路分级表</x:v>
      </x:c>
      <x:c r="E79" s="212" t="str">
        <x:v>仅编号A—J坊列之间9条内部轴线；自西向东1—9</x:v>
      </x:c>
    </x:row>
    <x:row r="80">
      <x:c r="A80" s="212" t="str">
        <x:v>road_grid_rule</x:v>
      </x:c>
      <x:c r="B80" s="212" t="str">
        <x:v>EW-ORDER</x:v>
      </x:c>
      <x:c r="C80" s="212" t="str">
        <x:v>东西向坊间道路轴线序位</x:v>
      </x:c>
      <x:c r="D80" s="212" t="str">
        <x:v>道路轴线/道路分级表</x:v>
      </x:c>
      <x:c r="E80" s="212" t="str">
        <x:v>13排坊之间共12条；从南向北EW-01—EW-12</x:v>
      </x:c>
    </x:row>
    <x:row r="81">
      <x:c r="A81" s="212" t="str">
        <x:v>road_grid_rule</x:v>
      </x:c>
      <x:c r="B81" s="212" t="str">
        <x:v>OUTSIDE-EW</x:v>
      </x:c>
      <x:c r="C81" s="212" t="str">
        <x:v>坊区外东西向道路</x:v>
      </x:c>
      <x:c r="D81" s="212" t="str">
        <x:v>道路轴线/道路分级表</x:v>
      </x:c>
      <x:c r="E81" s="212" t="str">
        <x:v>横街等位于坊区边界以外者不进入EW-01—EW-12序位</x:v>
      </x:c>
    </x:row>
  </x:sheetData>
  <x:mergeCells>
    <x:mergeCell ref="A1:E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的字段为必填；grid_coordinate格式为(x,y)，x自西向东、y自南向北；同时填写grid_reference和original_grid_code以保留底图依据。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longitude</x:v>
      </x:c>
      <x:c r="P3" s="62" t="str">
        <x:v>latitude</x:v>
      </x:c>
      <x:c r="Q3" s="62" t="str">
        <x:v>crs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 s="196" t="str">
        <x:v>grid_coordinate</x:v>
      </x:c>
      <x:c r="AD3" s="231" t="str">
        <x:v>grid_reference</x:v>
      </x:c>
      <x:c r="AE3" s="231" t="str">
        <x:v>original_grid_code</x:v>
      </x:c>
    </x:row>
    <x:row r="4" ht="42" customHeight="1">
      <x:c r="A4" s="67" t="str">
        <x:v>TC-FANG-0001</x:v>
      </x:c>
      <x:c r="B4" s="67" t="str">
        <x:v>平康坊</x:v>
      </x:c>
      <x:c r="C4" s="67" t="str">
        <x:v>平康坊</x:v>
      </x:c>
      <x:c r="D4" s="67" t="str"/>
      <x:c r="E4" s="67" t="str">
        <x:v>是</x:v>
      </x:c>
      <x:c r="F4" s="67" t="str">
        <x:v>朱雀门街东</x:v>
      </x:c>
      <x:c r="G4" s="67" t="str">
        <x:v>住宅</x:v>
      </x:c>
      <x:c r="H4" s="67" t="str">
        <x:v>商业,娱乐</x:v>
      </x:c>
      <x:c r="I4" s="67" t="str">
        <x:v>根据坊内宅第与相关活动综合判断</x:v>
      </x:c>
      <x:c r="J4" s="67" t="str">
        <x:v>TC-ROAD-0001</x:v>
      </x:c>
      <x:c r="K4" s="67" t="str"/>
      <x:c r="L4" s="67" t="str"/>
      <x:c r="M4" s="67" t="str"/>
      <x:c r="N4" s="67" t="str">
        <x:v>位于朱雀门街东侧</x:v>
      </x:c>
      <x:c r="O4" s="67" t="str"/>
      <x:c r="P4" s="67" t="str"/>
      <x:c r="Q4" s="67" t="str"/>
      <x:c r="R4" s="67" t="str"/>
      <x:c r="S4" s="67" t="str">
        <x:v>待定位</x:v>
      </x:c>
      <x:c r="T4" s="67" t="str">
        <x:v>唐</x:v>
      </x:c>
      <x:c r="U4" s="67" t="str">
        <x:v>唐</x:v>
      </x:c>
      <x:c r="V4" s="67" t="str">
        <x:v>TC-REF-0001</x:v>
      </x:c>
      <x:c r="W4" s="67" t="str">
        <x:v>TC-CHUNK-0002</x:v>
      </x:c>
      <x:c r="X4" s="67" t="str"/>
      <x:c r="Y4" s="67" t="str">
        <x:v>推导结论</x:v>
      </x:c>
      <x:c r="Z4" s="67" t="n">
        <x:v>0.8</x:v>
      </x:c>
      <x:c r="AA4" s="67" t="str">
        <x:v>待审核</x:v>
      </x:c>
      <x:c r="AB4" s="67" t="str">
        <x:v>示例仅展示格式</x:v>
      </x:c>
      <x:c r="AC4" s="201"/>
      <x:c r="AD4"/>
      <x:c r="AE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  <x:c r="AC5" s="201"/>
      <x:c r="AD5"/>
      <x:c r="AE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  <x:c r="AC6" s="201"/>
      <x:c r="AD6"/>
      <x:c r="AE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  <x:c r="AC7" s="201"/>
      <x:c r="AD7"/>
      <x:c r="AE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  <x:c r="AC8" s="201"/>
      <x:c r="AD8"/>
      <x:c r="AE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  <x:c r="AC9" s="201"/>
      <x:c r="AD9"/>
      <x:c r="AE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 s="201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 s="20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 s="201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 s="201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 s="201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 s="201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 s="201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 s="201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 s="201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 s="201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 s="201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 s="20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 s="201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 s="201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 s="201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 s="201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 s="201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 s="201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 s="201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 s="201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 s="201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 s="20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 s="201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 s="201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 s="201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 s="201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 s="201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 s="201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 s="201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 s="201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 s="201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 s="20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 s="201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 s="201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 s="201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 s="201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 s="201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 s="201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 s="201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 s="201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 s="201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 s="20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 s="201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 s="201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 s="201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 s="201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 s="201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 s="201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 s="201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 s="201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 s="201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 s="20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 s="201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 s="201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 s="201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 s="201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 s="201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 s="201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 s="201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 s="201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 s="201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 s="20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 s="201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 s="201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 s="201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 s="201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 s="201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 s="201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 s="201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 s="201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 s="201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 s="20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 s="201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 s="201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 s="201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 s="201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 s="201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 s="201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 s="201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 s="201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 s="201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 s="20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 s="201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 s="201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 s="201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 s="201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 s="201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 s="201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 s="201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 s="201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 s="201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 s="2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 s="201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 s="201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 s="201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 s="201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 s="201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 s="201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 s="201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 s="201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 s="201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 s="20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 s="201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 s="201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 s="201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 s="201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 s="201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 s="201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 s="201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 s="201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 s="201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 s="20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 s="201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 s="201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 s="201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 s="201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 s="201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 s="201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 s="201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 s="201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 s="201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 s="20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 s="201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 s="201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 s="201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 s="201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 s="201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 s="201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 s="201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 s="201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 s="201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 s="20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 s="201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 s="201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 s="201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 s="201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 s="201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 s="201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 s="201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 s="201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 s="201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 s="20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 s="201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 s="201"/>
      <x:c r="AD153"/>
      <x:c r="AE153"/>
    </x:row>
  </x:sheetData>
  <x:mergeCells>
    <x:mergeCell ref="A1:AE1"/>
    <x:mergeCell ref="A2:AE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的字段为必填；南北向道路写“自西向东第X条”，东西向道路写“自南向北第Y条”；同时保留底图版本与原图编号。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 s="196" t="str">
        <x:v>grid_position</x:v>
      </x:c>
      <x:c r="AA3" s="231" t="str">
        <x:v>grid_reference</x:v>
      </x:c>
      <x:c r="AB3" s="231" t="str">
        <x:v>original_grid_code</x:v>
      </x:c>
    </x:row>
    <x:row r="4" ht="42" customHeight="1">
      <x:c r="A4" s="67" t="str">
        <x:v>TC-ROAD-0001</x:v>
      </x:c>
      <x:c r="B4" s="67" t="str">
        <x:v>朱雀大街</x:v>
      </x:c>
      <x:c r="C4" s="67" t="str">
        <x:v>朱雀門街</x:v>
      </x:c>
      <x:c r="D4" s="67" t="str">
        <x:v>朱雀门街</x:v>
      </x:c>
      <x:c r="E4" s="67" t="str">
        <x:v>一级</x:v>
      </x:c>
      <x:c r="F4" s="67" t="str">
        <x:v>南北主干道</x:v>
      </x:c>
      <x:c r="G4" s="67" t="str">
        <x:v>南北</x:v>
      </x:c>
      <x:c r="H4" s="67" t="str">
        <x:v>TC-GATE-0002</x:v>
      </x:c>
      <x:c r="I4" s="67" t="str">
        <x:v>TC-GATE-0001</x:v>
      </x:c>
      <x:c r="J4" s="67" t="str">
        <x:v>TC-GATE-0002,TC-GATE-0001</x:v>
      </x:c>
      <x:c r="K4" s="67" t="str"/>
      <x:c r="L4" s="67" t="n">
        <x:v>150</x:v>
      </x:c>
      <x:c r="M4" s="67" t="str">
        <x:v>步</x:v>
      </x:c>
      <x:c r="N4" s="67" t="str"/>
      <x:c r="O4" s="67" t="str">
        <x:v>待确定唐代步制后换算</x:v>
      </x:c>
      <x:c r="P4" s="67" t="str"/>
      <x:c r="Q4" s="67" t="str">
        <x:v>唐</x:v>
      </x:c>
      <x:c r="R4" s="67" t="str">
        <x:v>唐</x:v>
      </x:c>
      <x:c r="S4" s="67" t="str">
        <x:v>TC-REF-0001</x:v>
      </x:c>
      <x:c r="T4" s="67" t="str">
        <x:v>TC-CHUNK-0003</x:v>
      </x:c>
      <x:c r="U4" s="67" t="str">
        <x:v>東西廣百五十步</x:v>
      </x:c>
      <x:c r="V4" s="67" t="str">
        <x:v>史料直述</x:v>
      </x:c>
      <x:c r="W4" s="67" t="n">
        <x:v>0.95</x:v>
      </x:c>
      <x:c r="X4" s="67" t="str">
        <x:v>待审核</x:v>
      </x:c>
      <x:c r="Y4" s="67" t="str">
        <x:v>标准化宽度暂不填写</x:v>
      </x:c>
      <x:c r="Z4" s="201"/>
      <x:c r="AA4"/>
      <x:c r="AB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  <x:c r="Z5" s="201"/>
      <x:c r="AA5"/>
      <x:c r="AB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 s="201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 s="201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 s="201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 s="201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 s="201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 s="20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 s="201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 s="201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 s="201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 s="201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 s="201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 s="201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 s="201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 s="201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 s="201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 s="20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 s="201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 s="201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 s="201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 s="201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 s="201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 s="201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 s="201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 s="201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 s="201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 s="20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 s="201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 s="201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 s="201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 s="201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 s="201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 s="201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 s="201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 s="201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 s="201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 s="20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 s="201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 s="201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 s="201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 s="201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 s="201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 s="201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 s="201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 s="201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 s="201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 s="20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 s="201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 s="201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 s="201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 s="201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 s="201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 s="201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 s="201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 s="201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 s="201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 s="20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 s="201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 s="201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 s="201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 s="201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 s="201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 s="201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 s="201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 s="201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 s="201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 s="20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 s="201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 s="201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 s="201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 s="201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 s="201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 s="201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 s="201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 s="201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 s="201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 s="20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 s="201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 s="201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 s="201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 s="201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 s="201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 s="201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 s="201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 s="201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 s="201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 s="20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 s="201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 s="201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 s="201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 s="201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 s="201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 s="201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 s="201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 s="201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 s="201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 s="2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 s="201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 s="201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 s="201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 s="201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 s="201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 s="201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 s="201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 s="201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 s="201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 s="20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 s="201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 s="201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 s="201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 s="201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 s="201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 s="201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 s="201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 s="201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 s="201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 s="20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 s="201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 s="201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 s="201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 s="201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 s="201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 s="201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 s="201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 s="201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 s="201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 s="20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 s="201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 s="201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 s="201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 s="201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 s="201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 s="201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 s="201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 s="201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 s="201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 s="20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 s="201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 s="201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 s="201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 s="201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 s="201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 s="201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 s="201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 s="201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 s="201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 s="20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 s="201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 s="201"/>
      <x:c r="AA153"/>
      <x:c r="AB153"/>
    </x:row>
  </x:sheetData>
  <x:mergeCells>
    <x:mergeCell ref="A1:AB1"/>
    <x:mergeCell ref="A2:AB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 t="str">
        <x:v>TC-CANAL-0001</x:v>
      </x:c>
      <x:c r="B4" s="67" t="str">
        <x:v>龙首渠</x:v>
      </x:c>
      <x:c r="C4" s="67" t="str">
        <x:v>龍首渠</x:v>
      </x:c>
      <x:c r="D4" s="67" t="str"/>
      <x:c r="E4" s="67" t="str">
        <x:v>城市干渠</x:v>
      </x:c>
      <x:c r="F4" s="67" t="str"/>
      <x:c r="G4" s="67" t="str"/>
      <x:c r="H4" s="67" t="str">
        <x:v>由南向北</x:v>
      </x:c>
      <x:c r="I4" s="67" t="str"/>
      <x:c r="J4" s="67" t="str"/>
      <x:c r="K4" s="67" t="str"/>
      <x:c r="L4" s="67" t="str">
        <x:v>宫苑供水</x:v>
      </x:c>
      <x:c r="M4" s="67" t="str">
        <x:v>东内苑、兴庆宫等</x:v>
      </x:c>
      <x:c r="N4" s="67" t="str"/>
      <x:c r="O4" s="67" t="str"/>
      <x:c r="P4" s="67" t="str">
        <x:v>唐</x:v>
      </x:c>
      <x:c r="Q4" s="67" t="str">
        <x:v>唐</x:v>
      </x:c>
      <x:c r="R4" s="67" t="str">
        <x:v>TC-REF-0001</x:v>
      </x:c>
      <x:c r="S4" s="67" t="str">
        <x:v>TC-CHUNK-0004</x:v>
      </x:c>
      <x:c r="T4" s="67" t="str">
        <x:v>龍首渠水自城南而注入於此池</x:v>
      </x:c>
      <x:c r="U4" s="67" t="str">
        <x:v>史料直述</x:v>
      </x:c>
      <x:c r="V4" s="67" t="n">
        <x:v>0.95</x:v>
      </x:c>
      <x:c r="W4" s="67" t="str">
        <x:v>待审核</x:v>
      </x:c>
      <x:c r="X4" s="67" t="str">
        <x:v>经过范围与实际供水范围需分别核实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/>
      <x:c r="E4" s="67" t="str">
        <x:v>外郭城门</x:v>
      </x:c>
      <x:c r="F4" s="67" t="str">
        <x:v>TC-BUILDING-0001</x:v>
      </x:c>
      <x:c r="G4" s="67" t="str">
        <x:v>南</x:v>
      </x:c>
      <x:c r="H4" s="67" t="str">
        <x:v>外郭城南面正中</x:v>
      </x:c>
      <x:c r="I4" s="67" t="str">
        <x:v>一级</x:v>
      </x:c>
      <x:c r="J4" s="67" t="str">
        <x:v>城市正门</x:v>
      </x:c>
      <x:c r="K4" s="67" t="str">
        <x:v>TC-ROAD-0001</x:v>
      </x:c>
      <x:c r="L4" s="67" t="str"/>
      <x:c r="M4" s="67" t="str"/>
      <x:c r="N4" s="67" t="str"/>
      <x:c r="O4" s="67" t="str"/>
      <x:c r="P4" s="67" t="str"/>
      <x:c r="Q4" s="67" t="str"/>
      <x:c r="R4" s="67" t="str"/>
      <x:c r="S4" s="67" t="str"/>
      <x:c r="T4" s="67" t="str"/>
      <x:c r="U4" s="67" t="str"/>
      <x:c r="V4" s="67" t="str">
        <x:v>待定位</x:v>
      </x:c>
      <x:c r="W4" s="67" t="str"/>
      <x:c r="X4" s="67" t="str"/>
      <x:c r="Y4" s="67" t="str"/>
      <x:c r="Z4" s="67" t="str">
        <x:v>唐</x:v>
      </x:c>
      <x:c r="AA4" s="67" t="str">
        <x:v>唐</x:v>
      </x:c>
      <x:c r="AB4" s="67" t="str">
        <x:v>TC-REF-0001</x:v>
      </x:c>
      <x:c r="AC4" s="67" t="str">
        <x:v>TC-CHUNK-0001</x:v>
      </x:c>
      <x:c r="AD4" s="67" t="str">
        <x:v>正南曰明德門</x:v>
      </x:c>
      <x:c r="AE4" s="67" t="str">
        <x:v>史料直述</x:v>
      </x:c>
      <x:c r="AF4" s="67" t="n">
        <x:v>0.95</x:v>
      </x:c>
      <x:c r="AG4" s="67" t="str">
        <x:v>待审核</x:v>
      </x:c>
      <x:c r="AH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89"/>
      <x:c r="AC5" s="89"/>
      <x:c r="AD5" s="89"/>
      <x:c r="AE5" s="89"/>
      <x:c r="AF5" s="89"/>
      <x:c r="AG5" s="89"/>
      <x:c r="AH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2"/>
      <x:c r="AC6" s="92"/>
      <x:c r="AD6" s="92"/>
      <x:c r="AE6" s="92"/>
      <x:c r="AF6" s="92"/>
      <x:c r="AG6" s="92"/>
      <x:c r="AH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2"/>
      <x:c r="AC7" s="92"/>
      <x:c r="AD7" s="92"/>
      <x:c r="AE7" s="92"/>
      <x:c r="AF7" s="92"/>
      <x:c r="AG7" s="92"/>
      <x:c r="AH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2"/>
      <x:c r="AC8" s="92"/>
      <x:c r="AD8" s="92"/>
      <x:c r="AE8" s="92"/>
      <x:c r="AF8" s="92"/>
      <x:c r="AG8" s="92"/>
      <x:c r="AH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2"/>
      <x:c r="AC9" s="92"/>
      <x:c r="AD9" s="92"/>
      <x:c r="AE9" s="92"/>
      <x:c r="AF9" s="92"/>
      <x:c r="AG9" s="92"/>
      <x:c r="AH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2"/>
      <x:c r="AC10" s="92"/>
      <x:c r="AD10" s="92"/>
      <x:c r="AE10" s="92"/>
      <x:c r="AF10" s="92"/>
      <x:c r="AG10" s="92"/>
      <x:c r="AH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 t="str">
        <x:v>TC-SCALE-0001</x:v>
      </x:c>
      <x:c r="B4" s="67" t="str">
        <x:v>TC-ROAD-0001</x:v>
      </x:c>
      <x:c r="C4" s="67" t="str">
        <x:v>朱雀大街</x:v>
      </x:c>
      <x:c r="D4" s="67" t="str">
        <x:v>TC-ROAD-0002</x:v>
      </x:c>
      <x:c r="E4" s="67" t="str">
        <x:v>普通街道</x:v>
      </x:c>
      <x:c r="F4" s="67" t="str">
        <x:v>宽度</x:v>
      </x:c>
      <x:c r="G4" s="97" t="n">
        <x:v>150</x:v>
      </x:c>
      <x:c r="H4" s="97" t="str">
        <x:v>步</x:v>
      </x:c>
      <x:c r="I4" s="97" t="n">
        <x:v>220.5</x:v>
      </x:c>
      <x:c r="J4" s="97" t="n">
        <x:v>100</x:v>
      </x:c>
      <x:c r="K4" s="97" t="str">
        <x:v>步</x:v>
      </x:c>
      <x:c r="L4" s="97" t="n">
        <x:v>147</x:v>
      </x:c>
      <x:c r="M4" s="97" t="str">
        <x:v>米</x:v>
      </x:c>
      <x:c r="N4" s="97" t="n">
        <x:f>IFERROR(I4/L4,"")</x:f>
        <x:v>1.5</x:v>
      </x:c>
      <x:c r="O4" s="67" t="str">
        <x:v>示例换算值，仅用于展示公式</x:v>
      </x:c>
      <x:c r="P4" s="67" t="str">
        <x:v>可比</x:v>
      </x:c>
      <x:c r="Q4" s="67" t="str">
        <x:v>同一换算标准</x:v>
      </x:c>
      <x:c r="R4" s="67" t="str">
        <x:v>实际换算系数待权威文献确认</x:v>
      </x:c>
      <x:c r="S4" s="67" t="str">
        <x:v>唐</x:v>
      </x:c>
      <x:c r="T4" s="67" t="str">
        <x:v>唐</x:v>
      </x:c>
      <x:c r="U4" s="67" t="str">
        <x:v>TC-REF-0001</x:v>
      </x:c>
      <x:c r="V4" s="67" t="str"/>
      <x:c r="W4" s="67" t="str"/>
      <x:c r="X4" s="67" t="str">
        <x:v>计算结果</x:v>
      </x:c>
      <x:c r="Y4" s="67" t="n">
        <x:v>0.6</x:v>
      </x:c>
      <x:c r="Z4" s="67" t="str">
        <x:v>待审核</x:v>
      </x:c>
      <x:c r="AA4" s="67" t="str">
        <x:v>示例数值不得作为正式结论</x:v>
      </x:c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 t="str">
        <x:v>TC-RULE-0001</x:v>
      </x:c>
      <x:c r="B4" s="67" t="str">
        <x:v>皇城邻近坊官署功能集中</x:v>
      </x:c>
      <x:c r="C4" s="67" t="str">
        <x:v>空间—功能</x:v>
      </x:c>
      <x:c r="D4" s="67" t="str">
        <x:v>皇城周边坊</x:v>
      </x:c>
      <x:c r="E4" s="67" t="str">
        <x:v>坊靠近皇城或主要官署道路</x:v>
      </x:c>
      <x:c r="F4" s="67" t="str">
        <x:v>官署及相关居住功能可能更集中</x:v>
      </x:c>
      <x:c r="G4" s="67" t="str"/>
      <x:c r="H4" s="67" t="str"/>
      <x:c r="I4" s="67" t="str"/>
      <x:c r="J4" s="67" t="str"/>
      <x:c r="K4" s="67" t="str"/>
      <x:c r="L4" s="67" t="str">
        <x:v>待补充至少两个正例</x:v>
      </x:c>
      <x:c r="M4" s="67" t="str">
        <x:v>待主动检索反例</x:v>
      </x:c>
      <x:c r="N4" s="67" t="str">
        <x:v>汇总位置与功能记录后进行比较</x:v>
      </x:c>
      <x:c r="O4" s="67" t="str">
        <x:v>唐</x:v>
      </x:c>
      <x:c r="P4" s="67" t="str">
        <x:v>唐</x:v>
      </x:c>
      <x:c r="Q4" s="67" t="str">
        <x:v>TC-REF-0001</x:v>
      </x:c>
      <x:c r="R4" s="67" t="str"/>
      <x:c r="S4" s="67" t="str"/>
      <x:c r="T4" s="67" t="str">
        <x:v>推导结论</x:v>
      </x:c>
      <x:c r="U4" s="67" t="n">
        <x:v>0.6</x:v>
      </x:c>
      <x:c r="V4" s="67" t="str">
        <x:v>待审核</x:v>
      </x:c>
      <x:c r="W4" s="67" t="str">
        <x:v>示例规则，不作为正式结论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 t="str">
        <x:v>TC-SPATIAL-0001</x:v>
      </x:c>
      <x:c r="B4" s="137" t="str">
        <x:v>TC-FANG-0001</x:v>
      </x:c>
      <x:c r="C4" s="137" t="str">
        <x:v>平康坊</x:v>
      </x:c>
      <x:c r="D4" s="137" t="str">
        <x:v>NORTH_OF</x:v>
      </x:c>
      <x:c r="E4" s="137" t="str">
        <x:v>TC-FANG-0002</x:v>
      </x:c>
      <x:c r="F4" s="137" t="str">
        <x:v>崇仁坊</x:v>
      </x:c>
      <x:c r="G4" s="137"/>
      <x:c r="H4" s="137"/>
      <x:c r="I4" s="137" t="str">
        <x:v>是</x:v>
      </x:c>
      <x:c r="J4" s="137" t="str">
        <x:v>唐</x:v>
      </x:c>
      <x:c r="K4" s="137" t="str">
        <x:v>唐</x:v>
      </x:c>
      <x:c r="L4" s="137" t="str">
        <x:v>TC-REF-0001</x:v>
      </x:c>
      <x:c r="M4" s="137" t="str">
        <x:v>TC-CHUNK-0005</x:v>
      </x:c>
      <x:c r="N4" s="137" t="str">
        <x:v>示例原文待替换</x:v>
      </x:c>
      <x:c r="O4" s="137" t="str">
        <x:v>地图测量</x:v>
      </x:c>
      <x:c r="P4" s="140" t="n">
        <x:v>0.8</x:v>
      </x:c>
      <x:c r="Q4" s="137" t="str">
        <x:v>待审核</x:v>
      </x:c>
      <x:c r="R4" s="138" t="str">
        <x:v>示例仅展示录入格式；反向关系查询时推导，不重复录入</x:v>
      </x:c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名称、别名、时期、位置、网格坐标、底图版本、原图格号、经纬度、来源等写入实体属性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等级、类型、走向、网格序位、底图版本、原图编号、宽度、时期、几何等写入实体属性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4" hidden="0" customWidth="1"/>
    <x:col min="3" max="3" width="3" hidden="0" customWidth="1"/>
    <x:col min="4" max="4" width="13" hidden="0" customWidth="1"/>
    <x:col min="5" max="5" width="13" hidden="0" customWidth="1"/>
    <x:col min="6" max="6" width="3" hidden="0" customWidth="1"/>
    <x:col min="7" max="7" width="18" hidden="0" customWidth="1"/>
    <x:col min="8" max="8" width="14" hidden="0" customWidth="1"/>
    <x:col min="9" max="9" width="12" hidden="0" customWidth="1"/>
    <x:col min="10" max="10" width="8" hidden="0" customWidth="1"/>
    <x:col min="11" max="11" width="8" hidden="0" customWidth="1"/>
    <x:col min="12" max="12" width="16" hidden="0" customWidth="1"/>
  </x:cols>
  <x:sheetData>
    <x:row r="1" ht="30" customHeight="1">
      <x:c r="A1" s="225" t="str">
        <x:v>唐长安城历史复原网格坐标基准（试行版）</x:v>
      </x:c>
      <x:c r="B1" s="225"/>
      <x:c r="C1" s="225"/>
      <x:c r="D1" s="225"/>
      <x:c r="E1" s="225"/>
      <x:c r="F1" s="225"/>
      <x:c r="G1" s="225"/>
      <x:c r="H1" s="225"/>
      <x:c r="I1" s="225"/>
      <x:c r="J1" s="225"/>
      <x:c r="K1" s="225"/>
      <x:c r="L1" s="225"/>
    </x:row>
    <x:row r="3" ht="23" customHeight="1">
      <x:c r="A3" s="231" t="str">
        <x:v>项目</x:v>
      </x:c>
      <x:c r="B3" s="231" t="str">
        <x:v>说明</x:v>
      </x:c>
    </x:row>
    <x:row r="4" ht="23" customHeight="1">
      <x:c r="A4" s="233" t="str">
        <x:v>grid_version</x:v>
      </x:c>
      <x:c r="B4" s="212" t="str">
        <x:v>SENO-8C-V0.1（试行）</x:v>
      </x:c>
    </x:row>
    <x:row r="5" ht="34" customHeight="1">
      <x:c r="A5" s="233" t="str">
        <x:v>逻辑网格主图</x:v>
      </x:c>
      <x:c r="B5" s="212" t="str">
        <x:v>王子奇（2023）图15转载的妹尾达彦《8世纪前半期的长安城复原图》</x:v>
      </x:c>
    </x:row>
    <x:row r="6" ht="34" customHeight="1">
      <x:c r="A6" s="233" t="str">
        <x:v>适用范围</x:v>
      </x:c>
      <x:c r="B6" s="212" t="str">
        <x:v>8世纪前半期唐长安城坊区的逻辑定位；不等同考古实测坐标或现代经纬度</x:v>
      </x:c>
    </x:row>
    <x:row r="7" ht="34" customHeight="1">
      <x:c r="A7" s="233" t="str">
        <x:v>横向规则</x:v>
      </x:c>
      <x:c r="B7" s="212" t="str">
        <x:v>原图A—J自西向东；数据库x=1—10</x:v>
      </x:c>
    </x:row>
    <x:row r="8" ht="34" customHeight="1">
      <x:c r="A8" s="233" t="str">
        <x:v>纵向规则</x:v>
      </x:c>
      <x:c r="B8" s="212" t="str">
        <x:v>原图1—13自北向南；数据库y=14-原图行号，因此y自南向北递增</x:v>
      </x:c>
    </x:row>
    <x:row r="9" ht="34" customHeight="1">
      <x:c r="A9" s="233" t="str">
        <x:v>校核图</x:v>
      </x:c>
      <x:c r="B9" s="212" t="str">
        <x:v>宿白复原图、《西安历史地图集》复原图及考古实测图；不同复原图不得直接混合编号</x:v>
      </x:c>
    </x:row>
    <x:row r="10" ht="23" customHeight="1">
      <x:c r="G10" s="236" t="str">
        <x:v>下列5行是坐标换算示例，不代表模板预置的正式研究结论。</x:v>
      </x:c>
      <x:c r="H10" s="236"/>
      <x:c r="I10" s="236"/>
      <x:c r="J10" s="236"/>
      <x:c r="K10" s="236"/>
      <x:c r="L10" s="236"/>
    </x:row>
    <x:row r="11" ht="23" customHeight="1">
      <x:c r="A11" s="231" t="str">
        <x:v>原图列号</x:v>
      </x:c>
      <x:c r="B11" s="231" t="str">
        <x:v>数据库x</x:v>
      </x:c>
      <x:c r="D11" s="231" t="str">
        <x:v>原图行号</x:v>
      </x:c>
      <x:c r="E11" s="231" t="str">
        <x:v>数据库y</x:v>
      </x:c>
      <x:c r="G11" s="231" t="str">
        <x:v>fang_key</x:v>
      </x:c>
      <x:c r="H11" s="231" t="str">
        <x:v>坊名</x:v>
      </x:c>
      <x:c r="I11" s="231" t="str">
        <x:v>原图格号</x:v>
      </x:c>
      <x:c r="J11" s="231" t="str">
        <x:v>x</x:v>
      </x:c>
      <x:c r="K11" s="231" t="str">
        <x:v>y</x:v>
      </x:c>
      <x:c r="L11" s="231" t="str">
        <x:v>数据库坐标</x:v>
      </x:c>
    </x:row>
    <x:row r="12" ht="23" customHeight="1">
      <x:c r="A12" s="212" t="str">
        <x:v>A</x:v>
      </x:c>
      <x:c r="B12" s="215" t="n">
        <x:v>1</x:v>
      </x:c>
      <x:c r="D12" s="215" t="n">
        <x:v>1</x:v>
      </x:c>
      <x:c r="E12" s="215" t="n">
        <x:f>14-D12</x:f>
        <x:v>13</x:v>
      </x:c>
      <x:c r="G12" s="212" t="str">
        <x:v>TC-FANG-0002</x:v>
      </x:c>
      <x:c r="H12" s="212" t="str">
        <x:v>修真坊</x:v>
      </x:c>
      <x:c r="I12" s="212" t="str">
        <x:v>A1</x:v>
      </x:c>
      <x:c r="J12" s="212" t="n">
        <x:f>CODE(LEFT(I12,1))-64</x:f>
        <x:v>1</x:v>
      </x:c>
      <x:c r="K12" s="212" t="n">
        <x:f>14-VALUE(MID(I12,2,2))</x:f>
        <x:v>13</x:v>
      </x:c>
      <x:c r="L12" s="212" t="str">
        <x:f>"("&amp;J12&amp;","&amp;K12&amp;")"</x:f>
        <x:v>(1,13)</x:v>
      </x:c>
    </x:row>
    <x:row r="13" ht="23" customHeight="1">
      <x:c r="A13" s="212" t="str">
        <x:v>B</x:v>
      </x:c>
      <x:c r="B13" s="215" t="n">
        <x:v>2</x:v>
      </x:c>
      <x:c r="D13" s="215" t="n">
        <x:v>2</x:v>
      </x:c>
      <x:c r="E13" s="215" t="n">
        <x:f>14-D13</x:f>
        <x:v>12</x:v>
      </x:c>
      <x:c r="G13" s="212" t="str">
        <x:v>TC-FANG-0003</x:v>
      </x:c>
      <x:c r="H13" s="212" t="str">
        <x:v>安定坊</x:v>
      </x:c>
      <x:c r="I13" s="212" t="str">
        <x:v>B1</x:v>
      </x:c>
      <x:c r="J13" s="212" t="n">
        <x:f>CODE(LEFT(I13,1))-64</x:f>
        <x:v>2</x:v>
      </x:c>
      <x:c r="K13" s="212" t="n">
        <x:f>14-VALUE(MID(I13,2,2))</x:f>
        <x:v>13</x:v>
      </x:c>
      <x:c r="L13" s="212" t="str">
        <x:f>"("&amp;J13&amp;","&amp;K13&amp;")"</x:f>
        <x:v>(2,13)</x:v>
      </x:c>
    </x:row>
    <x:row r="14" ht="23" customHeight="1">
      <x:c r="A14" s="212" t="str">
        <x:v>C</x:v>
      </x:c>
      <x:c r="B14" s="215" t="n">
        <x:v>3</x:v>
      </x:c>
      <x:c r="D14" s="215" t="n">
        <x:v>3</x:v>
      </x:c>
      <x:c r="E14" s="215" t="n">
        <x:f>14-D14</x:f>
        <x:v>11</x:v>
      </x:c>
      <x:c r="G14" s="212" t="str">
        <x:v>TC-FANG-0004</x:v>
      </x:c>
      <x:c r="H14" s="212" t="str">
        <x:v>修德坊</x:v>
      </x:c>
      <x:c r="I14" s="212" t="str">
        <x:v>C1</x:v>
      </x:c>
      <x:c r="J14" s="212" t="n">
        <x:f>CODE(LEFT(I14,1))-64</x:f>
        <x:v>3</x:v>
      </x:c>
      <x:c r="K14" s="212" t="n">
        <x:f>14-VALUE(MID(I14,2,2))</x:f>
        <x:v>13</x:v>
      </x:c>
      <x:c r="L14" s="212" t="str">
        <x:f>"("&amp;J14&amp;","&amp;K14&amp;")"</x:f>
        <x:v>(3,13)</x:v>
      </x:c>
    </x:row>
    <x:row r="15" ht="23" customHeight="1">
      <x:c r="A15" s="212" t="str">
        <x:v>D</x:v>
      </x:c>
      <x:c r="B15" s="215" t="n">
        <x:v>4</x:v>
      </x:c>
      <x:c r="D15" s="215" t="n">
        <x:v>4</x:v>
      </x:c>
      <x:c r="E15" s="215" t="n">
        <x:f>14-D15</x:f>
        <x:v>10</x:v>
      </x:c>
      <x:c r="G15" s="212" t="str">
        <x:v>TC-FANG-0005</x:v>
      </x:c>
      <x:c r="H15" s="212" t="str">
        <x:v>普宁坊</x:v>
      </x:c>
      <x:c r="I15" s="212" t="str">
        <x:v>A2</x:v>
      </x:c>
      <x:c r="J15" s="212" t="n">
        <x:f>CODE(LEFT(I15,1))-64</x:f>
        <x:v>1</x:v>
      </x:c>
      <x:c r="K15" s="212" t="n">
        <x:f>14-VALUE(MID(I15,2,2))</x:f>
        <x:v>12</x:v>
      </x:c>
      <x:c r="L15" s="212" t="str">
        <x:f>"("&amp;J15&amp;","&amp;K15&amp;")"</x:f>
        <x:v>(1,12)</x:v>
      </x:c>
    </x:row>
    <x:row r="16" ht="23" customHeight="1">
      <x:c r="A16" s="212" t="str">
        <x:v>E</x:v>
      </x:c>
      <x:c r="B16" s="215" t="n">
        <x:v>5</x:v>
      </x:c>
      <x:c r="D16" s="215" t="n">
        <x:v>5</x:v>
      </x:c>
      <x:c r="E16" s="215" t="n">
        <x:f>14-D16</x:f>
        <x:v>9</x:v>
      </x:c>
      <x:c r="G16" s="212" t="str">
        <x:v>TC-FANG-0006</x:v>
      </x:c>
      <x:c r="H16" s="212" t="str">
        <x:v>休祥坊</x:v>
      </x:c>
      <x:c r="I16" s="212" t="str">
        <x:v>B2</x:v>
      </x:c>
      <x:c r="J16" s="212" t="n">
        <x:f>CODE(LEFT(I16,1))-64</x:f>
        <x:v>2</x:v>
      </x:c>
      <x:c r="K16" s="212" t="n">
        <x:f>14-VALUE(MID(I16,2,2))</x:f>
        <x:v>12</x:v>
      </x:c>
      <x:c r="L16" s="212" t="str">
        <x:f>"("&amp;J16&amp;","&amp;K16&amp;")"</x:f>
        <x:v>(2,12)</x:v>
      </x:c>
    </x:row>
    <x:row r="17" ht="23" customHeight="1">
      <x:c r="A17" s="212" t="str">
        <x:v>F</x:v>
      </x:c>
      <x:c r="B17" s="215" t="n">
        <x:v>6</x:v>
      </x:c>
      <x:c r="D17" s="215" t="n">
        <x:v>6</x:v>
      </x:c>
      <x:c r="E17" s="215" t="n">
        <x:f>14-D17</x:f>
        <x:v>8</x:v>
      </x:c>
    </x:row>
    <x:row r="18" ht="23" customHeight="1">
      <x:c r="A18" s="212" t="str">
        <x:v>G</x:v>
      </x:c>
      <x:c r="B18" s="215" t="n">
        <x:v>7</x:v>
      </x:c>
      <x:c r="D18" s="215" t="n">
        <x:v>7</x:v>
      </x:c>
      <x:c r="E18" s="215" t="n">
        <x:f>14-D18</x:f>
        <x:v>7</x:v>
      </x:c>
    </x:row>
    <x:row r="19" ht="23" customHeight="1">
      <x:c r="A19" s="212" t="str">
        <x:v>H</x:v>
      </x:c>
      <x:c r="B19" s="215" t="n">
        <x:v>8</x:v>
      </x:c>
      <x:c r="D19" s="215" t="n">
        <x:v>8</x:v>
      </x:c>
      <x:c r="E19" s="215" t="n">
        <x:f>14-D19</x:f>
        <x:v>6</x:v>
      </x:c>
    </x:row>
    <x:row r="20" ht="23" customHeight="1">
      <x:c r="A20" s="212" t="str">
        <x:v>I</x:v>
      </x:c>
      <x:c r="B20" s="215" t="n">
        <x:v>9</x:v>
      </x:c>
      <x:c r="D20" s="215" t="n">
        <x:v>9</x:v>
      </x:c>
      <x:c r="E20" s="215" t="n">
        <x:f>14-D20</x:f>
        <x:v>5</x:v>
      </x:c>
    </x:row>
    <x:row r="21" ht="23" customHeight="1">
      <x:c r="A21" s="212" t="str">
        <x:v>J</x:v>
      </x:c>
      <x:c r="B21" s="215" t="n">
        <x:v>10</x:v>
      </x:c>
      <x:c r="D21" s="215" t="n">
        <x:v>10</x:v>
      </x:c>
      <x:c r="E21" s="215" t="n">
        <x:f>14-D21</x:f>
        <x:v>4</x:v>
      </x:c>
    </x:row>
    <x:row r="22" ht="23" customHeight="1">
      <x:c r="D22" s="215" t="n">
        <x:v>11</x:v>
      </x:c>
      <x:c r="E22" s="215" t="n">
        <x:f>14-D22</x:f>
        <x:v>3</x:v>
      </x:c>
    </x:row>
    <x:row r="23" ht="23" customHeight="1">
      <x:c r="D23" s="215" t="n">
        <x:v>12</x:v>
      </x:c>
      <x:c r="E23" s="215" t="n">
        <x:f>14-D23</x:f>
        <x:v>2</x:v>
      </x:c>
    </x:row>
    <x:row r="24" ht="23" customHeight="1">
      <x:c r="D24" s="215" t="n">
        <x:v>13</x:v>
      </x:c>
      <x:c r="E24" s="215" t="n">
        <x:f>14-D24</x:f>
        <x:v>1</x:v>
      </x:c>
    </x:row>
    <x:row r="25" ht="23" customHeight="1"/>
    <x:row r="26" ht="34" customHeight="1">
      <x:c r="A26" s="240" t="str">
        <x:v>直接来源：王子奇：《图里寻城——隋唐长安城考古与复原研究的回顾与思考》，《唐宋历史评论》第十二辑，2023年，图15（PDF第27页／刊页331）。</x:v>
      </x:c>
      <x:c r="B26" s="240"/>
      <x:c r="C26" s="240"/>
      <x:c r="D26" s="240"/>
      <x:c r="E26" s="240"/>
      <x:c r="F26" s="240"/>
      <x:c r="G26" s="240"/>
      <x:c r="H26" s="240"/>
      <x:c r="I26" s="240"/>
      <x:c r="J26" s="240"/>
      <x:c r="K26" s="240"/>
      <x:c r="L26" s="240"/>
    </x:row>
    <x:row r="27" ht="34" customHeight="1">
      <x:c r="A27" s="240" t="str">
        <x:v>原图来源：[日]妹尾达彦：《隋唐长安与东亚比较都城史》，第452页后插页。当前仅以论文转载图建立试行逻辑网格；正式发布前应核对原书高清图。</x:v>
      </x:c>
      <x:c r="B27" s="240"/>
      <x:c r="C27" s="240"/>
      <x:c r="D27" s="240"/>
      <x:c r="E27" s="240"/>
      <x:c r="F27" s="240"/>
      <x:c r="G27" s="240"/>
      <x:c r="H27" s="240"/>
      <x:c r="I27" s="240"/>
      <x:c r="J27" s="240"/>
      <x:c r="K27" s="240"/>
      <x:c r="L27" s="240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14" hidden="0" customWidth="1"/>
    <x:col min="4" max="4" width="24" hidden="0" customWidth="1"/>
    <x:col min="5" max="5" width="32" hidden="0" customWidth="1"/>
    <x:col min="6" max="6" width="3" hidden="0" customWidth="1"/>
    <x:col min="7" max="7" width="10" hidden="0" customWidth="1"/>
    <x:col min="8" max="8" width="14" hidden="0" customWidth="1"/>
    <x:col min="9" max="9" width="14" hidden="0" customWidth="1"/>
    <x:col min="10" max="10" width="24" hidden="0" customWidth="1"/>
    <x:col min="11" max="11" width="34" hidden="0" customWidth="1"/>
  </x:cols>
  <x:sheetData>
    <x:row r="1" ht="30" customHeight="1">
      <x:c r="A1" s="278" t="str">
        <x:v>唐长安城道路轴线序位（SENO-8C-V0.1试行）</x:v>
      </x:c>
      <x:c r="B1" s="278"/>
      <x:c r="C1" s="278"/>
      <x:c r="D1" s="278"/>
      <x:c r="E1" s="278"/>
      <x:c r="F1" s="278"/>
      <x:c r="G1" s="278"/>
      <x:c r="H1" s="278"/>
      <x:c r="I1" s="278"/>
      <x:c r="J1" s="278"/>
      <x:c r="K1" s="278"/>
    </x:row>
    <x:row r="3" ht="24" customHeight="1">
      <x:c r="A3" s="287" t="str">
        <x:v>南北向道路轴线（只编号坊列之间的9条内部轴线）</x:v>
      </x:c>
      <x:c r="B3" s="287"/>
      <x:c r="C3" s="287"/>
      <x:c r="D3" s="287"/>
      <x:c r="E3" s="287"/>
      <x:c r="G3" s="287" t="str">
        <x:v>东西向坊间道路轴线（13排坊之间共12条）</x:v>
      </x:c>
      <x:c r="H3" s="287"/>
      <x:c r="I3" s="287"/>
      <x:c r="J3" s="287"/>
      <x:c r="K3" s="287"/>
    </x:row>
    <x:row r="4" ht="24" customHeight="1">
      <x:c r="A4" s="284" t="str">
        <x:v>序位</x:v>
      </x:c>
      <x:c r="B4" s="284" t="str">
        <x:v>原图分界</x:v>
      </x:c>
      <x:c r="C4" s="284" t="str">
        <x:v>轴线代码</x:v>
      </x:c>
      <x:c r="D4" s="284" t="str">
        <x:v>grid_position</x:v>
      </x:c>
      <x:c r="E4" s="284" t="str">
        <x:v>说明</x:v>
      </x:c>
      <x:c r="G4" s="284" t="str">
        <x:v>序位</x:v>
      </x:c>
      <x:c r="H4" s="284" t="str">
        <x:v>原图分界</x:v>
      </x:c>
      <x:c r="I4" s="284" t="str">
        <x:v>轴线代码</x:v>
      </x:c>
      <x:c r="J4" s="284" t="str">
        <x:v>grid_position</x:v>
      </x:c>
      <x:c r="K4" s="284" t="str">
        <x:v>说明</x:v>
      </x:c>
    </x:row>
    <x:row r="5" ht="24" customHeight="1">
      <x:c r="A5" s="212" t="n">
        <x:v>1</x:v>
      </x:c>
      <x:c r="B5" s="212" t="str">
        <x:v>A|B</x:v>
      </x:c>
      <x:c r="C5" s="212" t="str">
        <x:v>NS-01</x:v>
      </x:c>
      <x:c r="D5" s="212" t="str">
        <x:v>自西向东第1条</x:v>
      </x:c>
      <x:c r="E5" s="212" t="str">
        <x:v>位于A、B两列坊之间</x:v>
      </x:c>
      <x:c r="G5" s="212" t="n">
        <x:v>1</x:v>
      </x:c>
      <x:c r="H5" s="212" t="str">
        <x:v>13|12</x:v>
      </x:c>
      <x:c r="I5" s="212" t="str">
        <x:v>EW-01</x:v>
      </x:c>
      <x:c r="J5" s="212" t="str">
        <x:v>自南向北第1条</x:v>
      </x:c>
      <x:c r="K5" s="212" t="str">
        <x:v>原图第13、12行坊之间</x:v>
      </x:c>
    </x:row>
    <x:row r="6" ht="24" customHeight="1">
      <x:c r="A6" s="212" t="n">
        <x:v>2</x:v>
      </x:c>
      <x:c r="B6" s="212" t="str">
        <x:v>B|C</x:v>
      </x:c>
      <x:c r="C6" s="212" t="str">
        <x:v>NS-02</x:v>
      </x:c>
      <x:c r="D6" s="212" t="str">
        <x:v>自西向东第2条</x:v>
      </x:c>
      <x:c r="E6" s="212" t="str">
        <x:v>位于B、C两列坊之间</x:v>
      </x:c>
      <x:c r="G6" s="212" t="n">
        <x:v>2</x:v>
      </x:c>
      <x:c r="H6" s="212" t="str">
        <x:v>12|11</x:v>
      </x:c>
      <x:c r="I6" s="212" t="str">
        <x:v>EW-02</x:v>
      </x:c>
      <x:c r="J6" s="212" t="str">
        <x:v>自南向北第2条</x:v>
      </x:c>
      <x:c r="K6" s="212" t="str">
        <x:v>原图第12、11行坊之间</x:v>
      </x:c>
    </x:row>
    <x:row r="7" ht="24" customHeight="1">
      <x:c r="A7" s="212" t="n">
        <x:v>3</x:v>
      </x:c>
      <x:c r="B7" s="212" t="str">
        <x:v>C|D</x:v>
      </x:c>
      <x:c r="C7" s="212" t="str">
        <x:v>NS-03</x:v>
      </x:c>
      <x:c r="D7" s="212" t="str">
        <x:v>自西向东第3条</x:v>
      </x:c>
      <x:c r="E7" s="212" t="str">
        <x:v>位于C、D两列坊之间</x:v>
      </x:c>
      <x:c r="G7" s="212" t="n">
        <x:v>3</x:v>
      </x:c>
      <x:c r="H7" s="212" t="str">
        <x:v>11|10</x:v>
      </x:c>
      <x:c r="I7" s="212" t="str">
        <x:v>EW-03</x:v>
      </x:c>
      <x:c r="J7" s="212" t="str">
        <x:v>自南向北第3条</x:v>
      </x:c>
      <x:c r="K7" s="212" t="str">
        <x:v>原图第11、10行坊之间</x:v>
      </x:c>
    </x:row>
    <x:row r="8" ht="24" customHeight="1">
      <x:c r="A8" s="212" t="n">
        <x:v>4</x:v>
      </x:c>
      <x:c r="B8" s="212" t="str">
        <x:v>D|E</x:v>
      </x:c>
      <x:c r="C8" s="212" t="str">
        <x:v>NS-04</x:v>
      </x:c>
      <x:c r="D8" s="212" t="str">
        <x:v>自西向东第4条</x:v>
      </x:c>
      <x:c r="E8" s="212" t="str">
        <x:v>位于D、E两列坊之间</x:v>
      </x:c>
      <x:c r="G8" s="212" t="n">
        <x:v>4</x:v>
      </x:c>
      <x:c r="H8" s="212" t="str">
        <x:v>10|9</x:v>
      </x:c>
      <x:c r="I8" s="212" t="str">
        <x:v>EW-04</x:v>
      </x:c>
      <x:c r="J8" s="212" t="str">
        <x:v>自南向北第4条</x:v>
      </x:c>
      <x:c r="K8" s="212" t="str">
        <x:v>原图第10、9行坊之间</x:v>
      </x:c>
    </x:row>
    <x:row r="9" ht="24" customHeight="1">
      <x:c r="A9" s="212" t="n">
        <x:v>5</x:v>
      </x:c>
      <x:c r="B9" s="212" t="str">
        <x:v>E|F</x:v>
      </x:c>
      <x:c r="C9" s="212" t="str">
        <x:v>NS-05</x:v>
      </x:c>
      <x:c r="D9" s="212" t="str">
        <x:v>自西向东第5条</x:v>
      </x:c>
      <x:c r="E9" s="212" t="str">
        <x:v>位于E、F两列坊之间</x:v>
      </x:c>
      <x:c r="G9" s="212" t="n">
        <x:v>5</x:v>
      </x:c>
      <x:c r="H9" s="212" t="str">
        <x:v>9|8</x:v>
      </x:c>
      <x:c r="I9" s="212" t="str">
        <x:v>EW-05</x:v>
      </x:c>
      <x:c r="J9" s="212" t="str">
        <x:v>自南向北第5条</x:v>
      </x:c>
      <x:c r="K9" s="212" t="str">
        <x:v>原图第9、8行坊之间</x:v>
      </x:c>
    </x:row>
    <x:row r="10" ht="24" customHeight="1">
      <x:c r="A10" s="212" t="n">
        <x:v>6</x:v>
      </x:c>
      <x:c r="B10" s="212" t="str">
        <x:v>F|G</x:v>
      </x:c>
      <x:c r="C10" s="212" t="str">
        <x:v>NS-06</x:v>
      </x:c>
      <x:c r="D10" s="212" t="str">
        <x:v>自西向东第6条</x:v>
      </x:c>
      <x:c r="E10" s="212" t="str">
        <x:v>位于F、G两列坊之间</x:v>
      </x:c>
      <x:c r="G10" s="212" t="n">
        <x:v>6</x:v>
      </x:c>
      <x:c r="H10" s="212" t="str">
        <x:v>8|7</x:v>
      </x:c>
      <x:c r="I10" s="212" t="str">
        <x:v>EW-06</x:v>
      </x:c>
      <x:c r="J10" s="212" t="str">
        <x:v>自南向北第6条</x:v>
      </x:c>
      <x:c r="K10" s="212" t="str">
        <x:v>原图第8、7行坊之间</x:v>
      </x:c>
    </x:row>
    <x:row r="11" ht="24" customHeight="1">
      <x:c r="A11" s="212" t="n">
        <x:v>7</x:v>
      </x:c>
      <x:c r="B11" s="212" t="str">
        <x:v>G|H</x:v>
      </x:c>
      <x:c r="C11" s="212" t="str">
        <x:v>NS-07</x:v>
      </x:c>
      <x:c r="D11" s="212" t="str">
        <x:v>自西向东第7条</x:v>
      </x:c>
      <x:c r="E11" s="212" t="str">
        <x:v>位于G、H两列坊之间</x:v>
      </x:c>
      <x:c r="G11" s="212" t="n">
        <x:v>7</x:v>
      </x:c>
      <x:c r="H11" s="212" t="str">
        <x:v>7|6</x:v>
      </x:c>
      <x:c r="I11" s="212" t="str">
        <x:v>EW-07</x:v>
      </x:c>
      <x:c r="J11" s="212" t="str">
        <x:v>自南向北第7条</x:v>
      </x:c>
      <x:c r="K11" s="212" t="str">
        <x:v>原图第7、6行坊之间</x:v>
      </x:c>
    </x:row>
    <x:row r="12" ht="24" customHeight="1">
      <x:c r="A12" s="212" t="n">
        <x:v>8</x:v>
      </x:c>
      <x:c r="B12" s="212" t="str">
        <x:v>H|I</x:v>
      </x:c>
      <x:c r="C12" s="212" t="str">
        <x:v>NS-08</x:v>
      </x:c>
      <x:c r="D12" s="212" t="str">
        <x:v>自西向东第8条</x:v>
      </x:c>
      <x:c r="E12" s="212" t="str">
        <x:v>位于H、I两列坊之间</x:v>
      </x:c>
      <x:c r="G12" s="212" t="n">
        <x:v>8</x:v>
      </x:c>
      <x:c r="H12" s="212" t="str">
        <x:v>6|5</x:v>
      </x:c>
      <x:c r="I12" s="212" t="str">
        <x:v>EW-08</x:v>
      </x:c>
      <x:c r="J12" s="212" t="str">
        <x:v>自南向北第8条</x:v>
      </x:c>
      <x:c r="K12" s="212" t="str">
        <x:v>原图第6、5行坊之间</x:v>
      </x:c>
    </x:row>
    <x:row r="13" ht="24" customHeight="1">
      <x:c r="A13" s="212" t="n">
        <x:v>9</x:v>
      </x:c>
      <x:c r="B13" s="212" t="str">
        <x:v>I|J</x:v>
      </x:c>
      <x:c r="C13" s="212" t="str">
        <x:v>NS-09</x:v>
      </x:c>
      <x:c r="D13" s="212" t="str">
        <x:v>自西向东第9条</x:v>
      </x:c>
      <x:c r="E13" s="212" t="str">
        <x:v>位于I、J两列坊之间</x:v>
      </x:c>
      <x:c r="G13" s="212" t="n">
        <x:v>9</x:v>
      </x:c>
      <x:c r="H13" s="212" t="str">
        <x:v>5|4</x:v>
      </x:c>
      <x:c r="I13" s="212" t="str">
        <x:v>EW-09</x:v>
      </x:c>
      <x:c r="J13" s="212" t="str">
        <x:v>自南向北第9条</x:v>
      </x:c>
      <x:c r="K13" s="212" t="str">
        <x:v>原图第5、4行坊之间</x:v>
      </x:c>
    </x:row>
    <x:row r="14" ht="24" customHeight="1">
      <x:c r="G14" s="212" t="n">
        <x:v>10</x:v>
      </x:c>
      <x:c r="H14" s="212" t="str">
        <x:v>4|3</x:v>
      </x:c>
      <x:c r="I14" s="212" t="str">
        <x:v>EW-10</x:v>
      </x:c>
      <x:c r="J14" s="212" t="str">
        <x:v>自南向北第10条</x:v>
      </x:c>
      <x:c r="K14" s="212" t="str">
        <x:v>原图第4、3行坊之间</x:v>
      </x:c>
    </x:row>
    <x:row r="15" ht="24" customHeight="1">
      <x:c r="G15" s="212" t="n">
        <x:v>11</x:v>
      </x:c>
      <x:c r="H15" s="212" t="str">
        <x:v>3|2</x:v>
      </x:c>
      <x:c r="I15" s="212" t="str">
        <x:v>EW-11</x:v>
      </x:c>
      <x:c r="J15" s="212" t="str">
        <x:v>自南向北第11条</x:v>
      </x:c>
      <x:c r="K15" s="212" t="str">
        <x:v>原图第3、2行坊之间</x:v>
      </x:c>
    </x:row>
    <x:row r="16" ht="24" customHeight="1">
      <x:c r="G16" s="212" t="n">
        <x:v>12</x:v>
      </x:c>
      <x:c r="H16" s="212" t="str">
        <x:v>2|1</x:v>
      </x:c>
      <x:c r="I16" s="212" t="str">
        <x:v>EW-12</x:v>
      </x:c>
      <x:c r="J16" s="212" t="str">
        <x:v>自南向北第12条</x:v>
      </x:c>
      <x:c r="K16" s="212" t="str">
        <x:v>原图第2、1行坊之间</x:v>
      </x:c>
    </x:row>
    <x:row r="17" ht="24" customHeight="1">
      <x:c r="G17"/>
      <x:c r="H17"/>
      <x:c r="I17"/>
      <x:c r="J17"/>
      <x:c r="K17"/>
    </x:row>
    <x:row r="18" ht="24" customHeight="1"/>
    <x:row r="19" ht="32" customHeight="1">
      <x:c r="A19" s="291" t="str">
        <x:v>编号对象是“道路轴线”，不是道路实体：同一轴线上的承天门街、朱雀大街等不同路段仍应分别建立道路实体，但可共享NS-05。</x:v>
      </x:c>
      <x:c r="B19" s="291"/>
      <x:c r="C19" s="291"/>
      <x:c r="D19" s="291"/>
      <x:c r="E19" s="291"/>
      <x:c r="F19" s="291"/>
      <x:c r="G19" s="291"/>
      <x:c r="H19" s="291"/>
      <x:c r="I19" s="291"/>
      <x:c r="J19" s="291"/>
      <x:c r="K19" s="291"/>
    </x:row>
    <x:row r="20" ht="32" customHeight="1">
      <x:c r="A20" s="291" t="str">
        <x:v>横街位于第1排坊以北，不属于12条坊间东西向街道，标记为“坊间序位不适用”；道路偏折、终止和时期变化仍须另行记录。</x:v>
      </x:c>
      <x:c r="B20" s="291"/>
      <x:c r="C20" s="291"/>
      <x:c r="D20" s="291"/>
      <x:c r="E20" s="291"/>
      <x:c r="F20" s="291"/>
      <x:c r="G20" s="291"/>
      <x:c r="H20" s="291"/>
      <x:c r="I20" s="291"/>
      <x:c r="J20" s="291"/>
      <x:c r="K20" s="291"/>
    </x:row>
  </x:sheetData>
  <x:mergeCells>
    <x:mergeCell ref="A1:K1"/>
    <x:mergeCell ref="A3:E3"/>
    <x:mergeCell ref="G3:K3"/>
    <x:mergeCell ref="A19:K19"/>
    <x:mergeCell ref="A20:K20"/>
  </x:mergeCells>
  <x:pageMargins left="0.7" right="0.7" top="0.75" bottom="0.75" header="0.3" footer="0.3"/>
</x:worksheet>
</file>
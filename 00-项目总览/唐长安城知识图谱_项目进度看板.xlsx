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9e2732bf004f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017bb292dd964397"/>
    <x:sheet xmlns:r="http://schemas.openxmlformats.org/officeDocument/2006/relationships" name="工作清单" sheetId="2" r:id="R5e1fa8e2bcf04c48"/>
    <x:sheet xmlns:r="http://schemas.openxmlformats.org/officeDocument/2006/relationships" name="里程碑" sheetId="3" r:id="Redb13692201244f5"/>
    <x:sheet xmlns:r="http://schemas.openxmlformats.org/officeDocument/2006/relationships" name="更新日志" sheetId="4" r:id="R21abdb4de15e45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42f35a020e4554" /><Relationship Type="http://schemas.openxmlformats.org/officeDocument/2006/relationships/theme" Target="/xl/theme/theme1.xml" Id="R1cf5b49cbaef4e38" /><Relationship Type="http://schemas.openxmlformats.org/officeDocument/2006/relationships/sharedStrings" Target="/xl/sharedStrings.xml" Id="R345bbeb1533346d0" /><Relationship Type="http://schemas.openxmlformats.org/officeDocument/2006/relationships/worksheet" Target="/xl/worksheets/sheet1.xml" Id="R017bb292dd964397" /><Relationship Type="http://schemas.openxmlformats.org/officeDocument/2006/relationships/worksheet" Target="/xl/worksheets/sheet2.xml" Id="R5e1fa8e2bcf04c48" /><Relationship Type="http://schemas.openxmlformats.org/officeDocument/2006/relationships/worksheet" Target="/xl/worksheets/sheet3.xml" Id="Redb13692201244f5" /><Relationship Type="http://schemas.openxmlformats.org/officeDocument/2006/relationships/worksheet" Target="/xl/worksheets/sheet4.xml" Id="R21abdb4de15e45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d82a54903ed41f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82a54903ed41f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407368238774e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63</x:v>
      </x:c>
      <x:c r="B6" s="449"/>
      <x:c r="C6" s="449"/>
      <x:c r="D6" s="449" t="n">
        <x:f>COUNTIF('工作清单'!$E$4:$E$200,"已完成")</x:f>
        <x:v>35</x:v>
      </x:c>
      <x:c r="E6" s="449"/>
      <x:c r="F6" s="449"/>
      <x:c r="G6" s="450" t="n">
        <x:f>COUNTIF('工作清单'!$E$4:$E$200,"进行中")</x:f>
        <x:v>7</x:v>
      </x:c>
      <x:c r="H6" s="450"/>
      <x:c r="I6" s="450"/>
      <x:c r="J6" s="451" t="n">
        <x:f>IFERROR(D6/A6,0)</x:f>
        <x:v>0.5555555555555556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24" customHeight="1">
      <x:c r="A10" s="453" t="str">
        <x:v>当前阶段：成员A已完成《唐两京城坊考》卷一自主提取与全卷校验
覆盖宫城、东宫、掖庭宫、皇城、大明宫、兴庆宫与三苑
当前卷一工作簿：574个实体、886条关系、50个史料片段；基础一致性校验全部通过</x:v>
      </x:c>
      <x:c r="B10" s="454"/>
      <x:c r="C10" s="454"/>
      <x:c r="D10" s="454"/>
      <x:c r="E10" s="454"/>
      <x:c r="F10" s="454"/>
      <x:c r="G10" s="454"/>
      <x:c r="H10" s="454"/>
      <x:c r="I10" s="454"/>
      <x:c r="J10" s="454"/>
      <x:c r="K10" s="371"/>
      <x:c r="L10" s="372"/>
    </x:row>
    <x:row r="11" ht="24" customHeight="1">
      <x:c r="A11" s="455"/>
      <x:c r="B11" s="456"/>
      <x:c r="C11" s="456"/>
      <x:c r="D11" s="456"/>
      <x:c r="E11" s="456"/>
      <x:c r="F11" s="456"/>
      <x:c r="G11" s="456"/>
      <x:c r="H11" s="456"/>
      <x:c r="I11" s="456"/>
      <x:c r="J11" s="456"/>
      <x:c r="K11" s="374"/>
      <x:c r="L11" s="375"/>
    </x:row>
    <x:row r="12" ht="24" customHeight="1">
      <x:c r="A12" s="457"/>
      <x:c r="B12" s="458"/>
      <x:c r="C12" s="458"/>
      <x:c r="D12" s="458"/>
      <x:c r="E12" s="458"/>
      <x:c r="F12" s="458"/>
      <x:c r="G12" s="458"/>
      <x:c r="H12" s="458"/>
      <x:c r="I12" s="458"/>
      <x:c r="J12" s="458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24" customHeight="1">
      <x:c r="A15" s="459" t="str">
        <x:v>1. 对卷一工作簿进行平台试导入与网页验收。
2. 将本轮同名消歧、异文保留、位置不详对象处理规则更新到Skill。
3. 成员A继续下一卷；成员B、C按文献提交独立批次，由A集中合并审核。</x:v>
      </x:c>
      <x:c r="B15" s="460"/>
      <x:c r="C15" s="460"/>
      <x:c r="D15" s="460"/>
      <x:c r="E15" s="460"/>
      <x:c r="F15" s="460"/>
      <x:c r="G15" s="460"/>
      <x:c r="H15" s="460"/>
      <x:c r="I15" s="460"/>
      <x:c r="J15" s="460"/>
      <x:c r="K15" s="398"/>
      <x:c r="L15" s="399"/>
    </x:row>
    <x:row r="16" ht="24" customHeight="1">
      <x:c r="A16" s="461"/>
      <x:c r="B16" s="462"/>
      <x:c r="C16" s="462"/>
      <x:c r="D16" s="462"/>
      <x:c r="E16" s="462"/>
      <x:c r="F16" s="462"/>
      <x:c r="G16" s="462"/>
      <x:c r="H16" s="462"/>
      <x:c r="I16" s="462"/>
      <x:c r="J16" s="462"/>
      <x:c r="K16" s="401"/>
      <x:c r="L16" s="402"/>
    </x:row>
    <x:row r="17" ht="24" customHeight="1">
      <x:c r="A17" s="463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1407368238774e8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S7-01</x:v>
      </x:c>
      <x:c r="B56" s="446" t="str">
        <x:v>阶段七：全量提取</x:v>
      </x:c>
      <x:c r="C56" s="446" t="str">
        <x:v>完成108坊功能数据</x:v>
      </x:c>
      <x:c r="D56" s="446" t="str">
        <x:v>同事</x:v>
      </x:c>
      <x:c r="E56" s="446" t="str">
        <x:v>进行中</x:v>
      </x:c>
      <x:c r="F56" s="446" t="str">
        <x:v>P1</x:v>
      </x:c>
      <x:c r="G56" s="467" t="str">
        <x:v>2026-08-13</x:v>
      </x:c>
      <x:c r="H56" s="467"/>
      <x:c r="I56" s="467"/>
      <x:c r="J56" s="446" t="str">
        <x:v>按协作包开始首篇试运行文献；复用108坊及公共对象编号</x:v>
      </x:c>
      <x:c r="K56" s="446" t="str">
        <x:v>协作登记表 / 个人批次工作簿</x:v>
      </x:c>
      <x:c r="L56" s="446" t="str">
        <x:v>108坊已登记为待补字段；先补证据和字段，不直接发布</x:v>
      </x:c>
    </x:row>
    <x:row r="57" ht="40" customHeight="1">
      <x:c r="A57" s="446" t="str">
        <x:v>S7-02</x:v>
      </x:c>
      <x:c r="B57" s="446" t="str">
        <x:v>阶段七：全量提取</x:v>
      </x:c>
      <x:c r="C57" s="446" t="str">
        <x:v>完成道路分级数据</x:v>
      </x:c>
      <x:c r="D57" s="446" t="str">
        <x:v>同事</x:v>
      </x:c>
      <x:c r="E57" s="446" t="str">
        <x:v>尚未开始</x:v>
      </x:c>
      <x:c r="F57" s="446" t="str">
        <x:v>P1</x:v>
      </x:c>
      <x:c r="G57" s="467"/>
      <x:c r="H57" s="467"/>
      <x:c r="I57" s="467"/>
      <x:c r="J57" s="446" t="str">
        <x:v>分批提取与审核</x:v>
      </x:c>
      <x:c r="K57" s="446" t="str">
        <x:v>道路全量表</x:v>
      </x:c>
      <x:c r="L57" s="446"/>
    </x:row>
    <x:row r="58" ht="40" customHeight="1">
      <x:c r="A58" s="446" t="str">
        <x:v>S7-03</x:v>
      </x:c>
      <x:c r="B58" s="446" t="str">
        <x:v>阶段七：全量提取</x:v>
      </x:c>
      <x:c r="C58" s="446" t="str">
        <x:v>完成水渠数据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水渠全量表</x:v>
      </x:c>
      <x:c r="L58" s="446"/>
    </x:row>
    <x:row r="59" ht="44" customHeight="1">
      <x:c r="A59" s="446" t="str">
        <x:v>S7-04</x:v>
      </x:c>
      <x:c r="B59" s="446" t="str">
        <x:v>阶段七：全量提取</x:v>
      </x:c>
      <x:c r="C59" s="446" t="str">
        <x:v>完成城门数据</x:v>
      </x:c>
      <x:c r="D59" s="446" t="str">
        <x:v>我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严格区分城门与内门</x:v>
      </x:c>
      <x:c r="K59" s="446" t="str">
        <x:v>城门全量表</x:v>
      </x:c>
      <x:c r="L59" s="446"/>
    </x:row>
    <x:row r="60" ht="44" customHeight="1">
      <x:c r="A60" s="446" t="str">
        <x:v>S7-05</x:v>
      </x:c>
      <x:c r="B60" s="446" t="str">
        <x:v>阶段七：全量提取</x:v>
      </x:c>
      <x:c r="C60" s="446" t="str">
        <x:v>完成尺度关系数据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全部公式人工复核</x:v>
      </x:c>
      <x:c r="K60" s="446" t="str">
        <x:v>尺度关系全量表</x:v>
      </x:c>
      <x:c r="L60" s="446"/>
    </x:row>
    <x:row r="61" ht="44" customHeight="1">
      <x:c r="A61" s="446" t="str">
        <x:v>S7-06</x:v>
      </x:c>
      <x:c r="B61" s="446" t="str">
        <x:v>阶段七：全量提取</x:v>
      </x:c>
      <x:c r="C61" s="446" t="str">
        <x:v>完成功能分区规则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必须检索反例</x:v>
      </x:c>
      <x:c r="K61" s="446" t="str">
        <x:v>规则全量表</x:v>
      </x:c>
      <x:c r="L61" s="446"/>
    </x:row>
    <x:row r="62" ht="48" customHeight="1">
      <x:c r="A62" s="446" t="str">
        <x:v>S7-07</x:v>
      </x:c>
      <x:c r="B62" s="446" t="str">
        <x:v>阶段七：全量提取</x:v>
      </x:c>
      <x:c r="C62" s="446" t="str">
        <x:v>完成《唐两京城坊考》卷一自主提取、实体关系转换与全卷校验</x:v>
      </x:c>
      <x:c r="D62" s="446" t="str">
        <x:v>成员A / Codex</x:v>
      </x:c>
      <x:c r="E62" s="446" t="str">
        <x:v>已完成</x:v>
      </x:c>
      <x:c r="F62" s="446" t="str">
        <x:v>P0</x:v>
      </x:c>
      <x:c r="G62" s="467" t="str">
        <x:v>2026-08-14</x:v>
      </x:c>
      <x:c r="H62" s="467" t="str">
        <x:v>2026-08-14</x:v>
      </x:c>
      <x:c r="I62" s="467" t="str">
        <x:v>2026-08-14</x:v>
      </x:c>
      <x:c r="J62" s="446" t="str">
        <x:v>平台试导入并将稳定规则更新到Skill</x:v>
      </x:c>
      <x:c r="K62" s="446" t="str">
        <x:v>卷一工作簿 / 协作登记表 / 全卷校验记录</x:v>
      </x:c>
      <x:c r="L62" s="446" t="str">
        <x:v>574实体、886关系、50片段；重复编号、重复边、悬空端点、错误引用、未登记关系类型、公式错误均为0</x:v>
      </x:c>
    </x:row>
    <x:row r="63" ht="48" customHeight="1">
      <x:c r="A63" s="446" t="str">
        <x:v>S8-01</x:v>
      </x:c>
      <x:c r="B63" s="446" t="str">
        <x:v>阶段八：质量检查</x:v>
      </x:c>
      <x:c r="C63" s="446" t="str">
        <x:v>完成数据完整性、历史语义和数值检查</x:v>
      </x:c>
      <x:c r="D63" s="446" t="str">
        <x:v>共同</x:v>
      </x:c>
      <x:c r="E63" s="446" t="str">
        <x:v>尚未开始</x:v>
      </x:c>
      <x:c r="F63" s="446" t="str">
        <x:v>P0</x:v>
      </x:c>
      <x:c r="G63" s="467"/>
      <x:c r="H63" s="467"/>
      <x:c r="I63" s="467"/>
      <x:c r="J63" s="446" t="str">
        <x:v>全量导入前完成</x:v>
      </x:c>
      <x:c r="K63" s="446" t="str">
        <x:v>质量报告</x:v>
      </x:c>
      <x:c r="L63" s="446"/>
    </x:row>
    <x:row r="64">
      <x:c r="A64" s="446" t="str">
        <x:v>S8-02</x:v>
      </x:c>
      <x:c r="B64" s="446" t="str">
        <x:v>阶段八：质量检查</x:v>
      </x:c>
      <x:c r="C64" s="446" t="str">
        <x:v>完成系统测试与重复导入测试</x:v>
      </x:c>
      <x:c r="D64" s="446" t="str">
        <x:v>Codex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发布前完成</x:v>
      </x:c>
      <x:c r="K64" s="446" t="str">
        <x:v>系统测试报告</x:v>
      </x:c>
      <x:c r="L64" s="446"/>
    </x:row>
    <x:row r="65">
      <x:c r="A65" s="446" t="str">
        <x:v>S9-01</x:v>
      </x:c>
      <x:c r="B65" s="446" t="str">
        <x:v>阶段九：发布交付</x:v>
      </x:c>
      <x:c r="C65" s="446" t="str">
        <x:v>冻结第一版数据并生成文档</x:v>
      </x:c>
      <x:c r="D65" s="446" t="str">
        <x:v>共同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完成最终审核</x:v>
      </x:c>
      <x:c r="K65" s="446" t="str">
        <x:v>tang_changan_v1</x:v>
      </x:c>
      <x:c r="L65" s="446"/>
    </x:row>
    <x:row r="66">
      <x:c r="A66" s="446" t="str">
        <x:v>S9-02</x:v>
      </x:c>
      <x:c r="B66" s="446" t="str">
        <x:v>阶段九：发布交付</x:v>
      </x:c>
      <x:c r="C66" s="446" t="str">
        <x:v>发布v1并建立Git标签v1.0.0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检查权限与版权</x:v>
      </x:c>
      <x:c r="K66" s="446" t="str">
        <x:v>正式发布</x:v>
      </x:c>
      <x:c r="L66" s="44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</x:sheetData>
  <x:mergeCells>
    <x:mergeCell ref="A1:F1"/>
    <x:mergeCell ref="A2:F2"/>
  </x:mergeCells>
  <x:pageMargins left="0.7" right="0.7" top="0.75" bottom="0.75" header="0.3" footer="0.3"/>
</x:worksheet>
</file>
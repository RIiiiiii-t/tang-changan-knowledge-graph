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56ac33e78c47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b5c1c21d62fd4ad6"/>
    <x:sheet xmlns:r="http://schemas.openxmlformats.org/officeDocument/2006/relationships" name="工作清单" sheetId="2" r:id="Rc62d32ec75f1441c"/>
    <x:sheet xmlns:r="http://schemas.openxmlformats.org/officeDocument/2006/relationships" name="里程碑" sheetId="3" r:id="R3e6f8e6bbb474272"/>
    <x:sheet xmlns:r="http://schemas.openxmlformats.org/officeDocument/2006/relationships" name="更新日志" sheetId="4" r:id="Rdc9bc0be82454a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9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</x:borders>
  <x:cellStyleXfs count="1">
    <x:xf numFmtId="0" fontId="0" fillId="0" borderId="0"/>
  </x:cellStyleXfs>
  <x:cellXfs count="20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 patternType="solid">
          <x:bgColor rgb="FFDDF3E4"/>
        </x:patternFill>
      </x:fill>
    </x:dxf>
    <x:dxf>
      <x:font>
        <x:b/>
        <x:color rgb="FF075985"/>
      </x:font>
      <x:fill>
        <x:patternFill patternType="solid">
          <x:bgColor rgb="FFD9EEF5"/>
        </x:patternFill>
      </x:fill>
    </x:dxf>
    <x:dxf>
      <x:font>
        <x:b/>
        <x:color rgb="FF854D0E"/>
      </x:font>
      <x:fill>
        <x:patternFill patternType="solid">
          <x:bgColor rgb="FFFFF4CC"/>
        </x:patternFill>
      </x:fill>
    </x:dxf>
    <x:dxf>
      <x:font>
        <x:b/>
        <x:color rgb="FF991B1B"/>
      </x:font>
      <x:fill>
        <x:patternFill patternType="solid">
          <x:bgColor rgb="FFFCE8E6"/>
        </x:patternFill>
      </x:fill>
    </x:dxf>
    <x:dxf>
      <x:font>
        <x:color rgb="FF4B5563"/>
      </x:font>
      <x:fill>
        <x:patternFill patternType="solid">
          <x:bgColor rgb="FFEEF1F4"/>
        </x:patternFill>
      </x:fill>
    </x:dxf>
    <x:dxf>
      <x:font>
        <x:b/>
        <x:color rgb="FF166534"/>
      </x:font>
      <x:fill>
        <x:patternFill patternType="solid">
          <x:bgColor rgb="FFDDF3E4"/>
        </x:patternFill>
      </x:fill>
    </x:dxf>
    <x:dxf>
      <x:font>
        <x:b/>
        <x:color rgb="FF075985"/>
      </x:font>
      <x:fill>
        <x:patternFill patternType="solid">
          <x:bgColor rgb="FFD9EEF5"/>
        </x:patternFill>
      </x:fill>
    </x:dxf>
    <x:dxf>
      <x:font>
        <x:b/>
        <x:color rgb="FF854D0E"/>
      </x:font>
      <x:fill>
        <x:patternFill patternType="solid">
          <x:bgColor rgb="FFFFF4CC"/>
        </x:patternFill>
      </x:fill>
    </x:dxf>
    <x:dxf>
      <x:font>
        <x:b/>
        <x:color rgb="FF991B1B"/>
      </x:font>
      <x:fill>
        <x:patternFill patternType="solid">
          <x:bgColor rgb="FFFCE8E6"/>
        </x:patternFill>
      </x:fill>
    </x:dxf>
    <x:dxf>
      <x:font>
        <x:color rgb="FF4B5563"/>
      </x:font>
      <x:fill>
        <x:patternFill patternType="solid"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b189e331dd4faa" /><Relationship Type="http://schemas.openxmlformats.org/officeDocument/2006/relationships/theme" Target="/xl/theme/theme1.xml" Id="R180c9030fcdc450c" /><Relationship Type="http://schemas.openxmlformats.org/officeDocument/2006/relationships/sharedStrings" Target="/xl/sharedStrings.xml" Id="Rfe12e9da17ef4a3e" /><Relationship Type="http://schemas.openxmlformats.org/officeDocument/2006/relationships/worksheet" Target="/xl/worksheets/sheet1.xml" Id="Rb5c1c21d62fd4ad6" /><Relationship Type="http://schemas.openxmlformats.org/officeDocument/2006/relationships/worksheet" Target="/xl/worksheets/sheet2.xml" Id="Rc62d32ec75f1441c" /><Relationship Type="http://schemas.openxmlformats.org/officeDocument/2006/relationships/worksheet" Target="/xl/worksheets/sheet3.xml" Id="R3e6f8e6bbb474272" /><Relationship Type="http://schemas.openxmlformats.org/officeDocument/2006/relationships/worksheet" Target="/xl/worksheets/sheet4.xml" Id="Rdc9bc0be82454a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8ac82d4fde41b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8ac82d4fde41b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b38c567483348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只看这一页即可：它会根据“工作清单”的状态自动更新。最近更新：2026-08-07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7</x:v>
      </x:c>
    </x:row>
    <x:row r="6">
      <x:c r="A6" s="40" t="n">
        <x:f>COUNTA('工作清单'!$A$4:$A$100)</x:f>
        <x:v>42</x:v>
      </x:c>
      <x:c r="B6" s="41"/>
      <x:c r="C6" s="42"/>
      <x:c r="D6" s="68" t="n">
        <x:f>COUNTIF('工作清单'!$E$4:$E$100,"已完成")</x:f>
        <x:v>7</x:v>
      </x:c>
      <x:c r="E6" s="69"/>
      <x:c r="F6" s="70"/>
      <x:c r="G6" s="96" t="n">
        <x:f>COUNTIF('工作清单'!$E$4:$E$100,"进行中")</x:f>
        <x:v>4</x:v>
      </x:c>
      <x:c r="H6" s="97"/>
      <x:c r="I6" s="98"/>
      <x:c r="J6" s="133" t="n">
        <x:f>IFERROR(COUNTIF('工作清单'!$E$4:$E$100,"已完成")/COUNTA('工作清单'!$A$4:$A$100),0)</x:f>
        <x:v>0.16666666666666666</x:v>
      </x:c>
      <x:c r="K6" s="134"/>
      <x:c r="L6" s="135"/>
      <x:c r="N6" t="str">
        <x:v>进行中</x:v>
      </x:c>
      <x:c r="O6" t="n">
        <x:f>COUNTIF('工作清单'!$E$4:$E$100,N6)</x:f>
        <x:v>4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28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当前阶段：阶段二——确定六张核心表字段与整合规则
总体状态：进行中
已完成：两个Git仓库、阶段二v1模板、公共字段与编号规则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你审核城门表、尺度关系表、功能分区规则的字段。
2. 同事审核坊功能表、道路分级表、水渠表的字段。
3. 全员一起确认六张专题表如何自动转换成实体表和关系表。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不要同时手工填写专题表和通用实体/关系表；专题表作为录入入口，之后由转换脚本生成通用表。远程上传平台仓库前，先处理超过100MB的青瓷模拟数据。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1b38c5674833482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 t="str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 t="str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 t="str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确定六张表公共字段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 t="str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 t="str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 t="str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 t="str"/>
      <x:c r="H11" s="17" t="str">
        <x:v>2026-08-12</x:v>
      </x:c>
      <x:c r="I11" s="17" t="str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 t="str"/>
      <x:c r="H12" s="17" t="str">
        <x:v>2026-08-12</x:v>
      </x:c>
      <x:c r="I12" s="17" t="str"/>
      <x:c r="J12" s="16" t="str">
        <x:v>组织字段评审</x:v>
      </x:c>
      <x:c r="K12" s="16" t="str">
        <x:v>道路分级表最终字段</x:v>
      </x:c>
      <x:c r="L12" s="16" t="str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 t="str"/>
      <x:c r="H13" s="17" t="str">
        <x:v>2026-08-12</x:v>
      </x:c>
      <x:c r="I13" s="17" t="str"/>
      <x:c r="J13" s="16" t="str">
        <x:v>组织字段评审</x:v>
      </x:c>
      <x:c r="K13" s="16" t="str">
        <x:v>水渠表最终字段</x:v>
      </x:c>
      <x:c r="L13" s="16" t="str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进行中</x:v>
      </x:c>
      <x:c r="F14" s="16" t="str">
        <x:v>P0</x:v>
      </x:c>
      <x:c r="G14" s="17" t="str">
        <x:v>2026-08-07</x:v>
      </x:c>
      <x:c r="H14" s="17" t="str">
        <x:v>2026-08-12</x:v>
      </x:c>
      <x:c r="I14" s="17" t="str"/>
      <x:c r="J14" s="16" t="str">
        <x:v>审核字段是否满足考古和文献需求</x:v>
      </x:c>
      <x:c r="K14" s="16" t="str">
        <x:v>城门表最终字段</x:v>
      </x:c>
      <x:c r="L14" s="16" t="str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进行中</x:v>
      </x:c>
      <x:c r="F15" s="16" t="str">
        <x:v>P0</x:v>
      </x:c>
      <x:c r="G15" s="17" t="str">
        <x:v>2026-08-07</x:v>
      </x:c>
      <x:c r="H15" s="17" t="str">
        <x:v>2026-08-12</x:v>
      </x:c>
      <x:c r="I15" s="17" t="str"/>
      <x:c r="J15" s="16" t="str">
        <x:v>确认单位换算和误差规则</x:v>
      </x:c>
      <x:c r="K15" s="16" t="str">
        <x:v>尺度关系表最终字段</x:v>
      </x:c>
      <x:c r="L15" s="16" t="str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进行中</x:v>
      </x:c>
      <x:c r="F16" s="16" t="str">
        <x:v>P0</x:v>
      </x:c>
      <x:c r="G16" s="17" t="str">
        <x:v>2026-08-07</x:v>
      </x:c>
      <x:c r="H16" s="17" t="str">
        <x:v>2026-08-12</x:v>
      </x:c>
      <x:c r="I16" s="17" t="str"/>
      <x:c r="J16" s="16" t="str">
        <x:v>确认正例、反例和推导格式</x:v>
      </x:c>
      <x:c r="K16" s="16" t="str">
        <x:v>功能分区规则最终字段</x:v>
      </x:c>
      <x:c r="L16" s="16" t="str"/>
    </x:row>
    <x:row r="17">
      <x:c r="A17" s="16" t="str">
        <x:v>S2-10</x:v>
      </x:c>
      <x:c r="B17" s="16" t="str">
        <x:v>阶段二：字段规范</x:v>
      </x:c>
      <x:c r="C17" s="16" t="str">
        <x:v>确定六张专题表转实体表/关系表规则</x:v>
      </x:c>
      <x:c r="D17" s="16" t="str">
        <x:v>共同</x:v>
      </x:c>
      <x:c r="E17" s="16" t="str">
        <x:v>进行中</x:v>
      </x:c>
      <x:c r="F17" s="16" t="str">
        <x:v>P0</x:v>
      </x:c>
      <x:c r="G17" s="17" t="str">
        <x:v>2026-08-07</x:v>
      </x:c>
      <x:c r="H17" s="17" t="str">
        <x:v>2026-08-14</x:v>
      </x:c>
      <x:c r="I17" s="17" t="str"/>
      <x:c r="J17" s="16" t="str">
        <x:v>形成自动转换映射</x:v>
      </x:c>
      <x:c r="K17" s="16" t="str">
        <x:v>字段映射说明v1</x:v>
      </x:c>
      <x:c r="L17" s="16" t="str">
        <x:v>不要重复手工录入通用表</x:v>
      </x:c>
    </x:row>
    <x:row r="18">
      <x:c r="A18" s="16" t="str">
        <x:v>S2-11</x:v>
      </x:c>
      <x:c r="B18" s="16" t="str">
        <x:v>阶段二：字段规范</x:v>
      </x:c>
      <x:c r="C18" s="16" t="str">
        <x:v>召开六张表字段联合评审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 t="str"/>
      <x:c r="H18" s="17" t="str">
        <x:v>2026-08-14</x:v>
      </x:c>
      <x:c r="I18" s="17" t="str"/>
      <x:c r="J18" s="16" t="str">
        <x:v>约定评审时间</x:v>
      </x:c>
      <x:c r="K18" s="16" t="str">
        <x:v>评审记录</x:v>
      </x:c>
      <x:c r="L18" s="16" t="str"/>
    </x:row>
    <x:row r="19">
      <x:c r="A19" s="16" t="str">
        <x:v>S2-12</x:v>
      </x:c>
      <x:c r="B19" s="16" t="str">
        <x:v>阶段二：字段规范</x:v>
      </x:c>
      <x:c r="C19" s="16" t="str">
        <x:v>冻结六张核心表字段规范v1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 t="str"/>
      <x:c r="H19" s="17" t="str">
        <x:v>2026-08-15</x:v>
      </x:c>
      <x:c r="I19" s="17" t="str"/>
      <x:c r="J19" s="16" t="str">
        <x:v>评审通过后Git存档</x:v>
      </x:c>
      <x:c r="K19" s="16" t="str">
        <x:v>字段规范v1</x:v>
      </x:c>
      <x:c r="L19" s="16" t="str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尚未开始</x:v>
      </x:c>
      <x:c r="F20" s="16" t="str">
        <x:v>P1</x:v>
      </x:c>
      <x:c r="G20" s="17" t="str"/>
      <x:c r="H20" s="17" t="str"/>
      <x:c r="I20" s="17" t="str"/>
      <x:c r="J20" s="16" t="str">
        <x:v>完成字段规范后开始</x:v>
      </x:c>
      <x:c r="K20" s="16" t="str">
        <x:v>文献登记表</x:v>
      </x:c>
      <x:c r="L20" s="16" t="str"/>
    </x:row>
    <x:row r="21">
      <x:c r="A21" s="16" t="str">
        <x:v>S3-02</x:v>
      </x:c>
      <x:c r="B21" s="16" t="str">
        <x:v>阶段三：文献建设</x:v>
      </x:c>
      <x:c r="C21" s="16" t="str">
        <x:v>建立六类数据缺失文献需求表</x:v>
      </x:c>
      <x:c r="D21" s="16" t="str">
        <x:v>共同</x:v>
      </x:c>
      <x:c r="E21" s="16" t="str">
        <x:v>尚未开始</x:v>
      </x:c>
      <x:c r="F21" s="16" t="str">
        <x:v>P1</x:v>
      </x:c>
      <x:c r="G21" s="17" t="str"/>
      <x:c r="H21" s="17" t="str"/>
      <x:c r="I21" s="17" t="str"/>
      <x:c r="J21" s="16" t="str">
        <x:v>按六张表分别列缺口</x:v>
      </x:c>
      <x:c r="K21" s="16" t="str">
        <x:v>文献需求清单</x:v>
      </x:c>
      <x:c r="L21" s="16" t="str"/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 t="str"/>
      <x:c r="H22" s="17" t="str"/>
      <x:c r="I22" s="17" t="str"/>
      <x:c r="J22" s="16" t="str">
        <x:v>优先权威考古报告</x:v>
      </x:c>
      <x:c r="K22" s="16" t="str">
        <x:v>新增文献</x:v>
      </x:c>
      <x:c r="L22" s="16" t="str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 t="str"/>
      <x:c r="H23" s="17" t="str"/>
      <x:c r="I23" s="17" t="str"/>
      <x:c r="J23" s="16" t="str">
        <x:v>用于尺度和坐标</x:v>
      </x:c>
      <x:c r="K23" s="16" t="str">
        <x:v>新增文献</x:v>
      </x:c>
      <x:c r="L23" s="16" t="str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 t="str"/>
      <x:c r="H24" s="17" t="str"/>
      <x:c r="I24" s="17" t="str"/>
      <x:c r="J24" s="16" t="str">
        <x:v>明确可用于坐标和尺度的来源</x:v>
      </x:c>
      <x:c r="K24" s="16" t="str">
        <x:v>质量分级规则</x:v>
      </x:c>
      <x:c r="L24" s="16" t="str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尚未开始</x:v>
      </x:c>
      <x:c r="F25" s="16" t="str">
        <x:v>P1</x:v>
      </x:c>
      <x:c r="G25" s="17" t="str"/>
      <x:c r="H25" s="17" t="str"/>
      <x:c r="I25" s="17" t="str"/>
      <x:c r="J25" s="16" t="str">
        <x:v>字段冻结后选择</x:v>
      </x:c>
      <x:c r="K25" s="16" t="str">
        <x:v>试验对象清单</x:v>
      </x:c>
      <x:c r="L25" s="16" t="str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尚未开始</x:v>
      </x:c>
      <x:c r="F26" s="16" t="str">
        <x:v>P1</x:v>
      </x:c>
      <x:c r="G26" s="17" t="str"/>
      <x:c r="H26" s="17" t="str"/>
      <x:c r="I26" s="17" t="str"/>
      <x:c r="J26" s="16" t="str">
        <x:v>使用可追溯证据</x:v>
      </x:c>
      <x:c r="K26" s="16" t="str">
        <x:v>样例记录</x:v>
      </x:c>
      <x:c r="L26" s="16" t="str"/>
    </x:row>
    <x:row r="27">
      <x:c r="A27" s="16" t="str">
        <x:v>S4-03</x:v>
      </x:c>
      <x:c r="B27" s="16" t="str">
        <x:v>阶段四：小型样例</x:v>
      </x:c>
      <x:c r="C27" s="16" t="str">
        <x:v>完成六张样例表</x:v>
      </x:c>
      <x:c r="D27" s="16" t="str">
        <x:v>共同</x:v>
      </x:c>
      <x:c r="E27" s="16" t="str">
        <x:v>尚未开始</x:v>
      </x:c>
      <x:c r="F27" s="16" t="str">
        <x:v>P1</x:v>
      </x:c>
      <x:c r="G27" s="17" t="str"/>
      <x:c r="H27" s="17" t="str"/>
      <x:c r="I27" s="17" t="str"/>
      <x:c r="J27" s="16" t="str">
        <x:v>分工录入</x:v>
      </x:c>
      <x:c r="K27" s="16" t="str">
        <x:v>小型样例数据集</x:v>
      </x:c>
      <x:c r="L27" s="16" t="str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 t="str"/>
      <x:c r="H28" s="17" t="str"/>
      <x:c r="I28" s="17" t="str"/>
      <x:c r="J28" s="16" t="str">
        <x:v>逐条审核</x:v>
      </x:c>
      <x:c r="K28" s="16" t="str">
        <x:v>样例审核记录</x:v>
      </x:c>
      <x:c r="L28" s="16" t="str"/>
    </x:row>
    <x:row r="29">
      <x:c r="A29" s="16" t="str">
        <x:v>S5-01</x:v>
      </x:c>
      <x:c r="B29" s="16" t="str">
        <x:v>阶段五：Skill升级</x:v>
      </x:c>
      <x:c r="C29" s="16" t="str">
        <x:v>升级提取Skill支持六张专题表</x:v>
      </x:c>
      <x:c r="D29" s="16" t="str">
        <x:v>Codex</x:v>
      </x:c>
      <x:c r="E29" s="16" t="str">
        <x:v>尚未开始</x:v>
      </x:c>
      <x:c r="F29" s="16" t="str">
        <x:v>P1</x:v>
      </x:c>
      <x:c r="G29" s="17" t="str"/>
      <x:c r="H29" s="17" t="str"/>
      <x:c r="I29" s="17" t="str"/>
      <x:c r="J29" s="16" t="str">
        <x:v>样例通过后升级</x:v>
      </x:c>
      <x:c r="K29" s="16" t="str">
        <x:v>knowledge-graph-extraction v2</x:v>
      </x:c>
      <x:c r="L29" s="16" t="str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 t="str"/>
      <x:c r="H30" s="17" t="str"/>
      <x:c r="I30" s="17" t="str"/>
      <x:c r="J30" s="16" t="str">
        <x:v>与字段规范一致</x:v>
      </x:c>
      <x:c r="K30" s="16" t="str">
        <x:v>提取规范v2</x:v>
      </x:c>
      <x:c r="L30" s="16" t="str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 t="str"/>
      <x:c r="H31" s="17" t="str"/>
      <x:c r="I31" s="17" t="str"/>
      <x:c r="J31" s="16" t="str">
        <x:v>比较人工审核结果</x:v>
      </x:c>
      <x:c r="K31" s="16" t="str">
        <x:v>测试报告</x:v>
      </x:c>
      <x:c r="L31" s="16" t="str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 t="str"/>
      <x:c r="H32" s="17" t="str"/>
      <x:c r="I32" s="17" t="str"/>
      <x:c r="J32" s="16" t="str">
        <x:v>保留通用技术架构</x:v>
      </x:c>
      <x:c r="K32" s="16" t="str">
        <x:v>唐长安城平台基线</x:v>
      </x:c>
      <x:c r="L32" s="16" t="str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 t="str"/>
      <x:c r="H33" s="17" t="str"/>
      <x:c r="I33" s="17" t="str"/>
      <x:c r="J33" s="16" t="str">
        <x:v>依据字段规范</x:v>
      </x:c>
      <x:c r="K33" s="16" t="str">
        <x:v>JSON Schema</x:v>
      </x:c>
      <x:c r="L33" s="16" t="str"/>
    </x:row>
    <x:row r="34">
      <x:c r="A34" s="16" t="str">
        <x:v>S6-03</x:v>
      </x:c>
      <x:c r="B34" s="16" t="str">
        <x:v>阶段六：平台迁移</x:v>
      </x:c>
      <x:c r="C34" s="16" t="str">
        <x:v>编写六张专题表到实体/关系转换脚本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 t="str"/>
      <x:c r="H34" s="17" t="str"/>
      <x:c r="I34" s="17" t="str"/>
      <x:c r="J34" s="16" t="str">
        <x:v>先支持小型样例</x:v>
      </x:c>
      <x:c r="K34" s="16" t="str">
        <x:v>转换脚本</x:v>
      </x:c>
      <x:c r="L34" s="16" t="str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 t="str"/>
      <x:c r="H35" s="17" t="str"/>
      <x:c r="I35" s="17" t="str"/>
      <x:c r="J35" s="16" t="str">
        <x:v>逐项验收</x:v>
      </x:c>
      <x:c r="K35" s="16" t="str">
        <x:v>平台样例验收报告</x:v>
      </x:c>
      <x:c r="L35" s="16" t="str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 t="str"/>
      <x:c r="H36" s="17" t="str"/>
      <x:c r="I36" s="17" t="str"/>
      <x:c r="J36" s="16" t="str">
        <x:v>小样例通过后分批提取</x:v>
      </x:c>
      <x:c r="K36" s="16" t="str">
        <x:v>坊功能全量表</x:v>
      </x:c>
      <x:c r="L36" s="16" t="str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 t="str"/>
      <x:c r="H37" s="17" t="str"/>
      <x:c r="I37" s="17" t="str"/>
      <x:c r="J37" s="16" t="str">
        <x:v>分批提取与审核</x:v>
      </x:c>
      <x:c r="K37" s="16" t="str">
        <x:v>道路全量表</x:v>
      </x:c>
      <x:c r="L37" s="16" t="str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 t="str"/>
      <x:c r="H38" s="17" t="str"/>
      <x:c r="I38" s="17" t="str"/>
      <x:c r="J38" s="16" t="str">
        <x:v>分批提取与审核</x:v>
      </x:c>
      <x:c r="K38" s="16" t="str">
        <x:v>水渠全量表</x:v>
      </x:c>
      <x:c r="L38" s="16" t="str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 t="str"/>
      <x:c r="H39" s="17" t="str"/>
      <x:c r="I39" s="17" t="str"/>
      <x:c r="J39" s="16" t="str">
        <x:v>严格区分城门与内门</x:v>
      </x:c>
      <x:c r="K39" s="16" t="str">
        <x:v>城门全量表</x:v>
      </x:c>
      <x:c r="L39" s="16" t="str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 t="str"/>
      <x:c r="H40" s="17" t="str"/>
      <x:c r="I40" s="17" t="str"/>
      <x:c r="J40" s="16" t="str">
        <x:v>全部公式人工复核</x:v>
      </x:c>
      <x:c r="K40" s="16" t="str">
        <x:v>尺度关系全量表</x:v>
      </x:c>
      <x:c r="L40" s="16" t="str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 t="str"/>
      <x:c r="H41" s="17" t="str"/>
      <x:c r="I41" s="17" t="str"/>
      <x:c r="J41" s="16" t="str">
        <x:v>必须检索反例</x:v>
      </x:c>
      <x:c r="K41" s="16" t="str">
        <x:v>规则全量表</x:v>
      </x:c>
      <x:c r="L41" s="16" t="str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 t="str"/>
      <x:c r="H42" s="17" t="str"/>
      <x:c r="I42" s="17" t="str"/>
      <x:c r="J42" s="16" t="str">
        <x:v>全量导入前完成</x:v>
      </x:c>
      <x:c r="K42" s="16" t="str">
        <x:v>质量报告</x:v>
      </x:c>
      <x:c r="L42" s="16" t="str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 t="str"/>
      <x:c r="H43" s="17" t="str"/>
      <x:c r="I43" s="17" t="str"/>
      <x:c r="J43" s="16" t="str">
        <x:v>发布前完成</x:v>
      </x:c>
      <x:c r="K43" s="16" t="str">
        <x:v>系统测试报告</x:v>
      </x:c>
      <x:c r="L43" s="16" t="str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 t="str"/>
      <x:c r="H44" s="17" t="str"/>
      <x:c r="I44" s="17" t="str"/>
      <x:c r="J44" s="16" t="str">
        <x:v>完成最终审核</x:v>
      </x:c>
      <x:c r="K44" s="16" t="str">
        <x:v>tang_changan_v1</x:v>
      </x:c>
      <x:c r="L44" s="16" t="str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 t="str"/>
      <x:c r="H45" s="17" t="str"/>
      <x:c r="I45" s="17" t="str"/>
      <x:c r="J45" s="16" t="str">
        <x:v>检查权限与版权</x:v>
      </x:c>
      <x:c r="K45" s="16" t="str">
        <x:v>正式发布</x:v>
      </x:c>
      <x:c r="L45" s="16" t="str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</x:sheetData>
  <x:mergeCells>
    <x:mergeCell ref="A1:F1"/>
    <x:mergeCell ref="A2:F2"/>
  </x:mergeCells>
  <x:pageMargins left="0.7" right="0.7" top="0.75" bottom="0.75" header="0.3" footer="0.3"/>
</x:worksheet>
</file>
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cbfa5c6cbd47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facec74ac74545d7"/>
    <x:sheet xmlns:r="http://schemas.openxmlformats.org/officeDocument/2006/relationships" name="工作清单" sheetId="2" r:id="Rb533b1474f0e4cd1"/>
    <x:sheet xmlns:r="http://schemas.openxmlformats.org/officeDocument/2006/relationships" name="里程碑" sheetId="3" r:id="Ra904d0c6a1e545cc"/>
    <x:sheet xmlns:r="http://schemas.openxmlformats.org/officeDocument/2006/relationships" name="更新日志" sheetId="4" r:id="R69c920b1c98b45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771e2cbd944705" /><Relationship Type="http://schemas.openxmlformats.org/officeDocument/2006/relationships/theme" Target="/xl/theme/theme1.xml" Id="R92993cfa80224c81" /><Relationship Type="http://schemas.openxmlformats.org/officeDocument/2006/relationships/sharedStrings" Target="/xl/sharedStrings.xml" Id="R6d948bd6c1ff45af" /><Relationship Type="http://schemas.openxmlformats.org/officeDocument/2006/relationships/worksheet" Target="/xl/worksheets/sheet1.xml" Id="Rfacec74ac74545d7" /><Relationship Type="http://schemas.openxmlformats.org/officeDocument/2006/relationships/worksheet" Target="/xl/worksheets/sheet2.xml" Id="Rb533b1474f0e4cd1" /><Relationship Type="http://schemas.openxmlformats.org/officeDocument/2006/relationships/worksheet" Target="/xl/worksheets/sheet3.xml" Id="Ra904d0c6a1e545cc" /><Relationship Type="http://schemas.openxmlformats.org/officeDocument/2006/relationships/worksheet" Target="/xl/worksheets/sheet4.xml" Id="R69c920b1c98b45d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437850a1d0467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437850a1d0467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638e09a2e2c41e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只看这一页即可：它会根据“工作清单”的状态自动更新。最近更新：2026-08-07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11</x:v>
      </x:c>
    </x:row>
    <x:row r="6">
      <x:c r="A6" s="40" t="n">
        <x:f>COUNTA('工作清单'!$A$4:$A$100)</x:f>
        <x:v>42</x:v>
      </x:c>
      <x:c r="B6" s="41"/>
      <x:c r="C6" s="42"/>
      <x:c r="D6" s="68" t="n">
        <x:f>COUNTIF('工作清单'!$E$4:$E$100,"已完成")</x:f>
        <x:v>11</x:v>
      </x:c>
      <x:c r="E6" s="69"/>
      <x:c r="F6" s="70"/>
      <x:c r="G6" s="96" t="n">
        <x:f>COUNTIF('工作清单'!$E$4:$E$100,"进行中")</x:f>
        <x:v>5</x:v>
      </x:c>
      <x:c r="H6" s="97"/>
      <x:c r="I6" s="98"/>
      <x:c r="J6" s="133" t="n">
        <x:f>IFERROR(COUNTIF('工作清单'!$E$4:$E$100,"已完成")/COUNTA('工作清单'!$A$4:$A$100),0)</x:f>
        <x:v>0.2619047619047619</x:v>
      </x:c>
      <x:c r="K6" s="134"/>
      <x:c r="L6" s="135"/>
      <x:c r="N6" t="str">
        <x:v>进行中</x:v>
      </x:c>
      <x:c r="O6" t="n">
        <x:f>COUNTIF('工作清单'!$E$4:$E$100,N6)</x:f>
        <x:v>5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当前阶段：阶段四小型样例进行中
总体状态：坊坐标与道路轴线试行规则均已建立
已完成：9条南北向轴线、13条东西向轴线编号；横街与承天门街完成试编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人工核对横街EW-13、承天门街NS-05的轴线判断。
2. 核对朱雀大街、安化门街等命名道路与轴线的对应。
3. 规则确认后，再扩展其余坊和主要道路。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道路编号针对轴线，不直接等于道路实体：同轴的不同路段分别建实体；道路偏折、终止和时期变化须另行记录。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9638e09a2e2c41e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确定六张表公共字段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确定六张专题表转实体表/关系表规则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召开六张表字段联合评审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冻结六张核心表字段规范v1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建立六类数据缺失文献需求表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完成六张样例表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升级提取Skill支持六张专题表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编写六张专题表到实体/关系转换脚本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</x:sheetData>
  <x:mergeCells>
    <x:mergeCell ref="A1:F1"/>
    <x:mergeCell ref="A2:F2"/>
  </x:mergeCells>
  <x:pageMargins left="0.7" right="0.7" top="0.75" bottom="0.75" header="0.3" footer="0.3"/>
</x:worksheet>
</file>
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2eb31cdf394d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43960c500f7d4cf4"/>
    <x:sheet xmlns:r="http://schemas.openxmlformats.org/officeDocument/2006/relationships" name="工作清单" sheetId="2" r:id="R1e70722e8b1d45f4"/>
    <x:sheet xmlns:r="http://schemas.openxmlformats.org/officeDocument/2006/relationships" name="里程碑" sheetId="3" r:id="R734d6990f27f4be2"/>
    <x:sheet xmlns:r="http://schemas.openxmlformats.org/officeDocument/2006/relationships" name="更新日志" sheetId="4" r:id="R3df2e875ff4546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60fdd669a647cd" /><Relationship Type="http://schemas.openxmlformats.org/officeDocument/2006/relationships/theme" Target="/xl/theme/theme1.xml" Id="R34d53913848447c6" /><Relationship Type="http://schemas.openxmlformats.org/officeDocument/2006/relationships/sharedStrings" Target="/xl/sharedStrings.xml" Id="R384605e605a04256" /><Relationship Type="http://schemas.openxmlformats.org/officeDocument/2006/relationships/worksheet" Target="/xl/worksheets/sheet1.xml" Id="R43960c500f7d4cf4" /><Relationship Type="http://schemas.openxmlformats.org/officeDocument/2006/relationships/worksheet" Target="/xl/worksheets/sheet2.xml" Id="R1e70722e8b1d45f4" /><Relationship Type="http://schemas.openxmlformats.org/officeDocument/2006/relationships/worksheet" Target="/xl/worksheets/sheet3.xml" Id="R734d6990f27f4be2" /><Relationship Type="http://schemas.openxmlformats.org/officeDocument/2006/relationships/worksheet" Target="/xl/worksheets/sheet4.xml" Id="R3df2e875ff4546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2ee2d8416044ef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ee2d8416044ef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0a444ada7f54e4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329" t="str">
        <x:v>唐长安城知识图谱 · 今日进度看板</x:v>
      </x:c>
      <x:c r="B1" s="329"/>
      <x:c r="C1" s="329"/>
      <x:c r="D1" s="329"/>
      <x:c r="E1" s="329"/>
      <x:c r="F1" s="329"/>
      <x:c r="G1" s="329"/>
      <x:c r="H1" s="329"/>
      <x:c r="I1" s="329"/>
      <x:c r="J1" s="329"/>
      <x:c r="K1" s="329"/>
      <x:c r="L1" s="329"/>
    </x:row>
    <x:row r="3" ht="24" customHeight="1">
      <x:c r="A3" s="332" t="str">
        <x:v>只看这一页即可：它会根据“工作清单”的状态自动更新。最近更新：2026-08-12</x:v>
      </x:c>
      <x:c r="B3" s="332"/>
      <x:c r="C3" s="332"/>
      <x:c r="D3" s="332"/>
      <x:c r="E3" s="332"/>
      <x:c r="F3" s="332"/>
      <x:c r="G3" s="332"/>
      <x:c r="H3" s="332"/>
      <x:c r="I3" s="332"/>
      <x:c r="J3" s="332"/>
      <x:c r="K3" s="332"/>
      <x:c r="L3" s="332"/>
    </x:row>
    <x:row r="4">
      <x:c r="N4"/>
      <x:c r="O4"/>
    </x:row>
    <x:row r="5">
      <x:c r="A5" s="334" t="str">
        <x:v>总任务数</x:v>
      </x:c>
      <x:c r="B5" s="334"/>
      <x:c r="C5" s="334"/>
      <x:c r="D5" s="334" t="str">
        <x:v>已完成</x:v>
      </x:c>
      <x:c r="E5" s="334"/>
      <x:c r="F5" s="334"/>
      <x:c r="G5" s="334" t="str">
        <x:v>进行中</x:v>
      </x:c>
      <x:c r="H5" s="334"/>
      <x:c r="I5" s="334"/>
      <x:c r="J5" s="334" t="str">
        <x:v>完成率</x:v>
      </x:c>
      <x:c r="K5" s="334"/>
      <x:c r="L5" s="334"/>
      <x:c r="N5"/>
      <x:c r="O5"/>
    </x:row>
    <x:row r="6" ht="32" customHeight="1">
      <x:c r="A6" s="338" t="n">
        <x:f>COUNTA('工作清单'!$A$4:$A$200)</x:f>
        <x:v>62</x:v>
      </x:c>
      <x:c r="B6" s="338"/>
      <x:c r="C6" s="338"/>
      <x:c r="D6" s="338" t="n">
        <x:f>COUNTIF('工作清单'!$E$4:$E$200,"已完成")</x:f>
        <x:v>34</x:v>
      </x:c>
      <x:c r="E6" s="338"/>
      <x:c r="F6" s="338"/>
      <x:c r="G6" s="342" t="n">
        <x:f>COUNTIF('工作清单'!$E$4:$E$200,"进行中")</x:f>
        <x:v>6</x:v>
      </x:c>
      <x:c r="H6" s="342"/>
      <x:c r="I6" s="342"/>
      <x:c r="J6" s="347" t="n">
        <x:f>IFERROR(D6/A6,0)</x:f>
        <x:v>0.5483870967741935</x:v>
      </x:c>
      <x:c r="K6" s="347"/>
      <x:c r="L6" s="347"/>
      <x:c r="N6"/>
      <x:c r="O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N7"/>
      <x:c r="O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N8"/>
      <x:c r="O8"/>
    </x:row>
    <x:row r="9">
      <x:c r="A9" s="351" t="str">
        <x:v>现在做到哪里</x:v>
      </x:c>
      <x:c r="B9" s="351"/>
      <x:c r="C9" s="351"/>
      <x:c r="D9" s="351"/>
      <x:c r="E9" s="351"/>
      <x:c r="F9" s="351"/>
      <x:c r="G9" s="351"/>
      <x:c r="H9" s="351"/>
      <x:c r="I9" s="351"/>
      <x:c r="J9" s="351"/>
      <x:c r="K9" s="351"/>
      <x:c r="L9" s="351"/>
      <x:c r="N9"/>
      <x:c r="O9"/>
    </x:row>
    <x:row r="10" ht="24" customHeight="1">
      <x:c r="A10" s="370" t="str">
        <x:v>当前阶段：多人全量提取准备材料已完成
公共实体登记：已预载108坊与25条道路，共133项，全部标记“待补字段”
协作交付：Skill v3已重新打包，并新增可直接转发的多人全量提取操作手册v1</x:v>
      </x:c>
      <x:c r="B10" s="371"/>
      <x:c r="C10" s="371"/>
      <x:c r="D10" s="371"/>
      <x:c r="E10" s="371"/>
      <x:c r="F10" s="371"/>
      <x:c r="G10" s="371"/>
      <x:c r="H10" s="371"/>
      <x:c r="I10" s="371"/>
      <x:c r="J10" s="371"/>
      <x:c r="K10" s="371"/>
      <x:c r="L10" s="372"/>
    </x:row>
    <x:row r="11" ht="24" customHeight="1">
      <x:c r="A11" s="373"/>
      <x:c r="B11" s="374"/>
      <x:c r="C11" s="374"/>
      <x:c r="D11" s="374"/>
      <x:c r="E11" s="374"/>
      <x:c r="F11" s="374"/>
      <x:c r="G11" s="374"/>
      <x:c r="H11" s="374"/>
      <x:c r="I11" s="374"/>
      <x:c r="J11" s="374"/>
      <x:c r="K11" s="374"/>
      <x:c r="L11" s="375"/>
    </x:row>
    <x:row r="12" ht="24" customHeight="1">
      <x:c r="A12" s="376"/>
      <x:c r="B12" s="377"/>
      <x:c r="C12" s="377"/>
      <x:c r="D12" s="377"/>
      <x:c r="E12" s="377"/>
      <x:c r="F12" s="377"/>
      <x:c r="G12" s="377"/>
      <x:c r="H12" s="377"/>
      <x:c r="I12" s="377"/>
      <x:c r="J12" s="377"/>
      <x:c r="K12" s="377"/>
      <x:c r="L12" s="378"/>
    </x:row>
    <x:row r="13">
      <x:c r="A13"/>
      <x:c r="B13"/>
      <x:c r="C13"/>
      <x:c r="D13"/>
      <x:c r="E13"/>
      <x:c r="F13"/>
    </x:row>
    <x:row r="14">
      <x:c r="A14" s="351" t="str">
        <x:v>下一步只做这三件事</x:v>
      </x:c>
      <x:c r="B14" s="351"/>
      <x:c r="C14" s="351"/>
      <x:c r="D14" s="351"/>
      <x:c r="E14" s="351"/>
      <x:c r="F14" s="351"/>
      <x:c r="G14" s="351"/>
      <x:c r="H14" s="351"/>
      <x:c r="I14" s="351"/>
      <x:c r="J14" s="351"/>
      <x:c r="K14" s="351"/>
      <x:c r="L14" s="351"/>
    </x:row>
    <x:row r="15" ht="24" customHeight="1">
      <x:c r="A15" s="397" t="str">
        <x:v>1. 由项目负责人填写任务分配表和编号段登记表。
2. 将Skill v3、操作手册和指定文献发给同事。
3. 每位同事先完成一篇文献或20—30条的小批次，审核一致后再扩大。</x:v>
      </x:c>
      <x:c r="B15" s="398"/>
      <x:c r="C15" s="398"/>
      <x:c r="D15" s="398"/>
      <x:c r="E15" s="398"/>
      <x:c r="F15" s="398"/>
      <x:c r="G15" s="398"/>
      <x:c r="H15" s="398"/>
      <x:c r="I15" s="398"/>
      <x:c r="J15" s="398"/>
      <x:c r="K15" s="398"/>
      <x:c r="L15" s="399"/>
    </x:row>
    <x:row r="16" ht="24" customHeight="1">
      <x:c r="A16" s="400"/>
      <x:c r="B16" s="401"/>
      <x:c r="C16" s="401"/>
      <x:c r="D16" s="401"/>
      <x:c r="E16" s="401"/>
      <x:c r="F16" s="401"/>
      <x:c r="G16" s="401"/>
      <x:c r="H16" s="401"/>
      <x:c r="I16" s="401"/>
      <x:c r="J16" s="401"/>
      <x:c r="K16" s="401"/>
      <x:c r="L16" s="402"/>
    </x:row>
    <x:row r="17" ht="24" customHeight="1">
      <x:c r="A17" s="403"/>
      <x:c r="B17" s="404"/>
      <x:c r="C17" s="404"/>
      <x:c r="D17" s="404"/>
      <x:c r="E17" s="404"/>
      <x:c r="F17" s="404"/>
      <x:c r="G17" s="404"/>
      <x:c r="H17" s="404"/>
      <x:c r="I17" s="404"/>
      <x:c r="J17" s="404"/>
      <x:c r="K17" s="404"/>
      <x:c r="L17" s="405"/>
    </x:row>
    <x:row r="18">
      <x:c r="A18"/>
      <x:c r="B18"/>
      <x:c r="C18"/>
      <x:c r="D18"/>
      <x:c r="E18"/>
      <x:c r="F18"/>
    </x:row>
    <x:row r="19">
      <x:c r="A19" s="351" t="str">
        <x:v>重要提醒</x:v>
      </x:c>
      <x:c r="B19" s="351"/>
      <x:c r="C19" s="351"/>
      <x:c r="D19" s="351"/>
      <x:c r="E19" s="351"/>
      <x:c r="F19" s="351"/>
      <x:c r="G19" s="351"/>
      <x:c r="H19" s="351"/>
      <x:c r="I19" s="351"/>
      <x:c r="J19" s="351"/>
      <x:c r="K19" s="351"/>
      <x:c r="L19" s="351"/>
    </x:row>
    <x:row r="20" ht="24" customHeight="1">
      <x:c r="A20" s="425" t="str">
        <x:v>108坊与25条道路仅进入协作模板的主实体登记表，用于统一复用编号；未批量导入正式实体表。道路中的项目描述名/推导对象保留复核提示，后续须补齐片段级证据和缺失字段。</x:v>
      </x:c>
      <x:c r="B20" s="426"/>
      <x:c r="C20" s="426"/>
      <x:c r="D20" s="426"/>
      <x:c r="E20" s="426"/>
      <x:c r="F20" s="426"/>
      <x:c r="G20" s="426"/>
      <x:c r="H20" s="426"/>
      <x:c r="I20" s="426"/>
      <x:c r="J20" s="42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70a444ada7f54e4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216" t="str">
        <x:v>S6-19</x:v>
      </x:c>
      <x:c r="B54" s="216" t="str">
        <x:v>阶段六：平台迁移</x:v>
      </x:c>
      <x:c r="C54" s="216" t="str">
        <x:v>完成第三批空间基础事实发布与网页验收</x:v>
      </x:c>
      <x:c r="D54" s="216" t="str">
        <x:v>用户 / Codex</x:v>
      </x:c>
      <x:c r="E54" s="216" t="str">
        <x:v>已完成</x:v>
      </x:c>
      <x:c r="F54" s="216" t="str">
        <x:v>P0</x:v>
      </x:c>
      <x:c r="G54" s="217" t="str">
        <x:v>2026-08-12</x:v>
      </x:c>
      <x:c r="H54" s="217" t="str">
        <x:v>2026-08-12</x:v>
      </x:c>
      <x:c r="I54" s="217" t="str">
        <x:v>2026-08-12</x:v>
      </x:c>
      <x:c r="J54" s="216" t="str">
        <x:v>人工审核v7新增的外郭城、永安渠六坊和平康坊空间关系</x:v>
      </x:c>
      <x:c r="K54" s="216" t="str">
        <x:v>发布版本v3 / 第三批发布与网页验收报告v1</x:v>
      </x:c>
      <x:c r="L54" s="216" t="str">
        <x:v>发布11实体、11关系、1来源、6片段；公开总量21实体/16关系/2来源/12片段；搜索索引33文档</x:v>
      </x:c>
    </x:row>
    <x:row r="55" ht="40" customHeight="1">
      <x:c r="A55" s="216" t="str">
        <x:v>S6-20</x:v>
      </x:c>
      <x:c r="B55" s="216" t="str">
        <x:v>阶段六：平台迁移</x:v>
      </x:c>
      <x:c r="C55" s="216" t="str">
        <x:v>补齐正式迁移前P0结构端点，修正平康坊方向及x=±3坊列道路边界</x:v>
      </x:c>
      <x:c r="D55" s="216" t="str">
        <x:v>用户 / Codex</x:v>
      </x:c>
      <x:c r="E55" s="216" t="str">
        <x:v>已完成</x:v>
      </x:c>
      <x:c r="F55" s="216" t="str">
        <x:v>P0</x:v>
      </x:c>
      <x:c r="G55" s="217" t="str">
        <x:v>2026-08-12</x:v>
      </x:c>
      <x:c r="H55" s="217" t="str">
        <x:v>2026-08-12</x:v>
      </x:c>
      <x:c r="I55" s="217" t="str">
        <x:v>2026-08-12</x:v>
      </x:c>
      <x:c r="J55" s="216" t="str">
        <x:v>以小型样例v9和发布v4作为Skill升级的稳定样例基线</x:v>
      </x:c>
      <x:c r="K55" s="216" t="str">
        <x:v>小型样例v9 / 平台导入包v5 / 发布版本v4 / 第四批平台发布与网页验收报告v1</x:v>
      </x:c>
      <x:c r="L55" s="216" t="str">
        <x:v>用户审核通过；公开39实体/50关系/4来源/19片段；图谱与检索验收通过</x:v>
      </x:c>
    </x:row>
    <x:row r="56" ht="40" customHeight="1">
      <x:c r="A56" s="216" t="str">
        <x:v>S7-01</x:v>
      </x:c>
      <x:c r="B56" s="216" t="str">
        <x:v>阶段七：全量提取</x:v>
      </x:c>
      <x:c r="C56" s="216" t="str">
        <x:v>完成108坊功能数据</x:v>
      </x:c>
      <x:c r="D56" s="216" t="str">
        <x:v>同事</x:v>
      </x:c>
      <x:c r="E56" s="216" t="str">
        <x:v>尚未开始</x:v>
      </x:c>
      <x:c r="F56" s="216" t="str">
        <x:v>P1</x:v>
      </x:c>
      <x:c r="G56" s="217"/>
      <x:c r="H56" s="217"/>
      <x:c r="I56" s="217"/>
      <x:c r="J56" s="216" t="str">
        <x:v>小样例通过后分批提取</x:v>
      </x:c>
      <x:c r="K56" s="216" t="str">
        <x:v>坊功能全量表</x:v>
      </x:c>
      <x:c r="L56" s="216"/>
    </x:row>
    <x:row r="57" ht="40" customHeight="1">
      <x:c r="A57" s="216" t="str">
        <x:v>S7-02</x:v>
      </x:c>
      <x:c r="B57" s="216" t="str">
        <x:v>阶段七：全量提取</x:v>
      </x:c>
      <x:c r="C57" s="216" t="str">
        <x:v>完成道路分级数据</x:v>
      </x:c>
      <x:c r="D57" s="216" t="str">
        <x:v>同事</x:v>
      </x:c>
      <x:c r="E57" s="216" t="str">
        <x:v>尚未开始</x:v>
      </x:c>
      <x:c r="F57" s="216" t="str">
        <x:v>P1</x:v>
      </x:c>
      <x:c r="G57" s="217"/>
      <x:c r="H57" s="217"/>
      <x:c r="I57" s="217"/>
      <x:c r="J57" s="216" t="str">
        <x:v>分批提取与审核</x:v>
      </x:c>
      <x:c r="K57" s="216" t="str">
        <x:v>道路全量表</x:v>
      </x:c>
      <x:c r="L57" s="216"/>
    </x:row>
    <x:row r="58" ht="40" customHeight="1">
      <x:c r="A58" s="216" t="str">
        <x:v>S7-03</x:v>
      </x:c>
      <x:c r="B58" s="216" t="str">
        <x:v>阶段七：全量提取</x:v>
      </x:c>
      <x:c r="C58" s="216" t="str">
        <x:v>完成水渠数据</x:v>
      </x:c>
      <x:c r="D58" s="216" t="str">
        <x:v>同事</x:v>
      </x:c>
      <x:c r="E58" s="216" t="str">
        <x:v>尚未开始</x:v>
      </x:c>
      <x:c r="F58" s="216" t="str">
        <x:v>P1</x:v>
      </x:c>
      <x:c r="G58" s="217"/>
      <x:c r="H58" s="217"/>
      <x:c r="I58" s="217"/>
      <x:c r="J58" s="216" t="str">
        <x:v>分批提取与审核</x:v>
      </x:c>
      <x:c r="K58" s="216" t="str">
        <x:v>水渠全量表</x:v>
      </x:c>
      <x:c r="L58" s="216"/>
    </x:row>
    <x:row r="59" ht="44" customHeight="1">
      <x:c r="A59" s="216" t="str">
        <x:v>S7-04</x:v>
      </x:c>
      <x:c r="B59" s="216" t="str">
        <x:v>阶段七：全量提取</x:v>
      </x:c>
      <x:c r="C59" s="216" t="str">
        <x:v>完成城门数据</x:v>
      </x:c>
      <x:c r="D59" s="216" t="str">
        <x:v>我</x:v>
      </x:c>
      <x:c r="E59" s="216" t="str">
        <x:v>尚未开始</x:v>
      </x:c>
      <x:c r="F59" s="216" t="str">
        <x:v>P1</x:v>
      </x:c>
      <x:c r="G59" s="217"/>
      <x:c r="H59" s="217"/>
      <x:c r="I59" s="217"/>
      <x:c r="J59" s="216" t="str">
        <x:v>严格区分城门与内门</x:v>
      </x:c>
      <x:c r="K59" s="216" t="str">
        <x:v>城门全量表</x:v>
      </x:c>
      <x:c r="L59" s="216"/>
    </x:row>
    <x:row r="60" ht="44" customHeight="1">
      <x:c r="A60" s="216" t="str">
        <x:v>S7-05</x:v>
      </x:c>
      <x:c r="B60" s="216" t="str">
        <x:v>阶段七：全量提取</x:v>
      </x:c>
      <x:c r="C60" s="216" t="str">
        <x:v>完成尺度关系数据</x:v>
      </x:c>
      <x:c r="D60" s="216" t="str">
        <x:v>我</x:v>
      </x:c>
      <x:c r="E60" s="216" t="str">
        <x:v>尚未开始</x:v>
      </x:c>
      <x:c r="F60" s="216" t="str">
        <x:v>P1</x:v>
      </x:c>
      <x:c r="G60" s="217"/>
      <x:c r="H60" s="217"/>
      <x:c r="I60" s="217"/>
      <x:c r="J60" s="216" t="str">
        <x:v>全部公式人工复核</x:v>
      </x:c>
      <x:c r="K60" s="216" t="str">
        <x:v>尺度关系全量表</x:v>
      </x:c>
      <x:c r="L60" s="216"/>
    </x:row>
    <x:row r="61" ht="44" customHeight="1">
      <x:c r="A61" s="216" t="str">
        <x:v>S7-06</x:v>
      </x:c>
      <x:c r="B61" s="216" t="str">
        <x:v>阶段七：全量提取</x:v>
      </x:c>
      <x:c r="C61" s="216" t="str">
        <x:v>完成功能分区规则</x:v>
      </x:c>
      <x:c r="D61" s="216" t="str">
        <x:v>我</x:v>
      </x:c>
      <x:c r="E61" s="216" t="str">
        <x:v>尚未开始</x:v>
      </x:c>
      <x:c r="F61" s="216" t="str">
        <x:v>P1</x:v>
      </x:c>
      <x:c r="G61" s="217"/>
      <x:c r="H61" s="217"/>
      <x:c r="I61" s="217"/>
      <x:c r="J61" s="216" t="str">
        <x:v>必须检索反例</x:v>
      </x:c>
      <x:c r="K61" s="216" t="str">
        <x:v>规则全量表</x:v>
      </x:c>
      <x:c r="L61" s="216"/>
    </x:row>
    <x:row r="62" ht="48" customHeight="1">
      <x:c r="A62" s="216" t="str">
        <x:v>S8-01</x:v>
      </x:c>
      <x:c r="B62" s="216" t="str">
        <x:v>阶段八：质量检查</x:v>
      </x:c>
      <x:c r="C62" s="216" t="str">
        <x:v>完成数据完整性、历史语义和数值检查</x:v>
      </x:c>
      <x:c r="D62" s="216" t="str">
        <x:v>共同</x:v>
      </x:c>
      <x:c r="E62" s="216" t="str">
        <x:v>尚未开始</x:v>
      </x:c>
      <x:c r="F62" s="216" t="str">
        <x:v>P0</x:v>
      </x:c>
      <x:c r="G62" s="217"/>
      <x:c r="H62" s="217"/>
      <x:c r="I62" s="217"/>
      <x:c r="J62" s="216" t="str">
        <x:v>全量导入前完成</x:v>
      </x:c>
      <x:c r="K62" s="216" t="str">
        <x:v>质量报告</x:v>
      </x:c>
      <x:c r="L62" s="216"/>
    </x:row>
    <x:row r="63" ht="48" customHeight="1">
      <x:c r="A63" s="216" t="str">
        <x:v>S8-02</x:v>
      </x:c>
      <x:c r="B63" s="216" t="str">
        <x:v>阶段八：质量检查</x:v>
      </x:c>
      <x:c r="C63" s="216" t="str">
        <x:v>完成系统测试与重复导入测试</x:v>
      </x:c>
      <x:c r="D63" s="216" t="str">
        <x:v>Codex</x:v>
      </x:c>
      <x:c r="E63" s="216" t="str">
        <x:v>尚未开始</x:v>
      </x:c>
      <x:c r="F63" s="216" t="str">
        <x:v>P0</x:v>
      </x:c>
      <x:c r="G63" s="217"/>
      <x:c r="H63" s="217"/>
      <x:c r="I63" s="217"/>
      <x:c r="J63" s="216" t="str">
        <x:v>发布前完成</x:v>
      </x:c>
      <x:c r="K63" s="216" t="str">
        <x:v>系统测试报告</x:v>
      </x:c>
      <x:c r="L63" s="216"/>
    </x:row>
    <x:row r="64">
      <x:c r="A64" t="str">
        <x:v>S9-01</x:v>
      </x:c>
      <x:c r="B64" t="str">
        <x:v>阶段九：发布交付</x:v>
      </x:c>
      <x:c r="C64" t="str">
        <x:v>冻结第一版数据并生成文档</x:v>
      </x:c>
      <x:c r="D64" t="str">
        <x:v>共同</x:v>
      </x:c>
      <x:c r="E64" t="str">
        <x:v>尚未开始</x:v>
      </x:c>
      <x:c r="F64" t="str">
        <x:v>P0</x:v>
      </x:c>
      <x:c r="G64"/>
      <x:c r="H64"/>
      <x:c r="I64"/>
      <x:c r="J64" t="str">
        <x:v>完成最终审核</x:v>
      </x:c>
      <x:c r="K64" t="str">
        <x:v>tang_changan_v1</x:v>
      </x:c>
      <x:c r="L64"/>
    </x:row>
    <x:row r="65">
      <x:c r="A65" t="str">
        <x:v>S9-02</x:v>
      </x:c>
      <x:c r="B65" t="str">
        <x:v>阶段九：发布交付</x:v>
      </x:c>
      <x:c r="C65" t="str">
        <x:v>发布v1并建立Git标签v1.0.0</x:v>
      </x:c>
      <x:c r="D65" t="str">
        <x:v>共同</x:v>
      </x:c>
      <x:c r="E65" t="str">
        <x:v>尚未开始</x:v>
      </x:c>
      <x:c r="F65" t="str">
        <x:v>P0</x:v>
      </x:c>
      <x:c r="G65"/>
      <x:c r="H65"/>
      <x:c r="I65"/>
      <x:c r="J65" t="str">
        <x:v>检查权限与版权</x:v>
      </x:c>
      <x:c r="K65" t="str">
        <x:v>正式发布</x:v>
      </x:c>
      <x:c r="L65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t="str">
        <x:v>2026-08-12</x:v>
      </x:c>
      <x:c r="B46" t="str">
        <x:v>用户 / Codex</x:v>
      </x:c>
      <x:c r="C46" t="str">
        <x:v>将知识提取Skill升级为v3，加入多人按文献分工、专题复核和集中合并规范，并打包完整协作资产</x:v>
      </x:c>
      <x:c r="D46" t="str">
        <x:v>knowledge-graph-extraction-v3.skill / 项目看板</x:v>
      </x:c>
      <x:c r="E46" t="str">
        <x:v>填写任务分配与编号段后，先让每位同事完成一个小批次</x:v>
      </x:c>
      <x:c r="F46" t="str">
        <x:v>包内含正式模板、v10稳定样例、协作登记模板；个人批次不得直接发布</x:v>
      </x:c>
    </x:row>
    <x:row r="47">
      <x:c r="A47" t="str">
        <x:v>2026-08-13</x:v>
      </x:c>
      <x:c r="B47" t="str">
        <x:v>用户 / Codex</x:v>
      </x:c>
      <x:c r="C47" t="str">
        <x:v>将同事表中的108坊和25条道路导入主实体登记表，并完成可直接转发的多人全量提取操作手册</x:v>
      </x:c>
      <x:c r="D47" t="str">
        <x:v>协作登记模板 / 操作手册v1 / knowledge-graph-extraction-v3.skill</x:v>
      </x:c>
      <x:c r="E47" t="str">
        <x:v>填写任务和编号段后，安排每人一个小批次试运行</x:v>
      </x:c>
      <x:c r="F47" t="str">
        <x:v>133项均为待补字段；仅锁定公共编号，不进入正式实体表或自动审核</x:v>
      </x:c>
    </x:row>
  </x:sheetData>
  <x:mergeCells>
    <x:mergeCell ref="A1:F1"/>
    <x:mergeCell ref="A2:F2"/>
  </x:mergeCells>
  <x:pageMargins left="0.7" right="0.7" top="0.75" bottom="0.75" header="0.3" footer="0.3"/>
</x:worksheet>
</file>
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5663b12bdb4a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96725a30d5b4387"/>
    <x:sheet xmlns:r="http://schemas.openxmlformats.org/officeDocument/2006/relationships" name="工作清单" sheetId="2" r:id="R7a2dd8eea54d409e"/>
    <x:sheet xmlns:r="http://schemas.openxmlformats.org/officeDocument/2006/relationships" name="里程碑" sheetId="3" r:id="R0eba975b99ef403d"/>
    <x:sheet xmlns:r="http://schemas.openxmlformats.org/officeDocument/2006/relationships" name="更新日志" sheetId="4" r:id="R87bb7353572e4a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16ed531aa849a8" /><Relationship Type="http://schemas.openxmlformats.org/officeDocument/2006/relationships/theme" Target="/xl/theme/theme1.xml" Id="Rbc7a4da39e054d7d" /><Relationship Type="http://schemas.openxmlformats.org/officeDocument/2006/relationships/sharedStrings" Target="/xl/sharedStrings.xml" Id="R412246cb59bf4995" /><Relationship Type="http://schemas.openxmlformats.org/officeDocument/2006/relationships/worksheet" Target="/xl/worksheets/sheet1.xml" Id="R096725a30d5b4387" /><Relationship Type="http://schemas.openxmlformats.org/officeDocument/2006/relationships/worksheet" Target="/xl/worksheets/sheet2.xml" Id="R7a2dd8eea54d409e" /><Relationship Type="http://schemas.openxmlformats.org/officeDocument/2006/relationships/worksheet" Target="/xl/worksheets/sheet3.xml" Id="R0eba975b99ef403d" /><Relationship Type="http://schemas.openxmlformats.org/officeDocument/2006/relationships/worksheet" Target="/xl/worksheets/sheet4.xml" Id="R87bb7353572e4a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db269fdc1c445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db269fdc1c445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25469494704b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只看这一页即可：它会根据“工作清单”的状态自动更新。最近更新：2026-08-12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25</x:v>
      </x:c>
    </x:row>
    <x:row r="6">
      <x:c r="A6" s="40" t="n">
        <x:f>COUNTA('工作清单'!$A$4:$A$100)</x:f>
        <x:v>59</x:v>
      </x:c>
      <x:c r="B6" s="41"/>
      <x:c r="C6" s="42"/>
      <x:c r="D6" s="68" t="n">
        <x:f>COUNTIF('工作清单'!$E$4:$E$100,"已完成")</x:f>
        <x:v>25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0.423728813559322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当前阶段：小型样例的实体表、关系表已经完成同步
总体状态：实体表48条、关系表32条，与平台导入包一致
本次完成：补写25个专题生成实体、22条专题生成关系；转换程序增加去重规则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人工抽查v4新增的实体和关系。
2. 后续专题表更新后，统一重新生成实体表和关系表。
3. 确定正式迁移优先级并分批审核其余数据。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v1—v3保留为历史版本；v4是当前小型样例工作版本。实体表和关系表是由专题表汇总生成的通用核查输出，后续不需要与专题表重复手工维护。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5225469494704ba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  <x:row r="56" ht="40" customHeight="1">
      <x:c r="A56" s="216" t="str">
        <x:v>S6-11</x:v>
      </x:c>
      <x:c r="B56" s="216" t="str">
        <x:v>阶段六：平台迁移</x:v>
      </x:c>
      <x:c r="C56" s="216" t="str">
        <x:v>完成首个唐长安测试数据库导入与验收</x:v>
      </x:c>
      <x:c r="D56" s="216" t="str">
        <x:v>Codex</x:v>
      </x:c>
      <x:c r="E56" s="216" t="str">
        <x:v>已完成</x:v>
      </x:c>
      <x:c r="F56" s="216" t="str">
        <x:v>P0</x:v>
      </x:c>
      <x:c r="G56" s="217" t="n">
        <x:v>46246</x:v>
      </x:c>
      <x:c r="H56" s="217" t="n">
        <x:v>46246</x:v>
      </x:c>
      <x:c r="I56" s="217" t="n">
        <x:v>46246</x:v>
      </x:c>
      <x:c r="J56" s="216" t="str">
        <x:v>启动测试API与页面，检查管理端和证据展示</x:v>
      </x:c>
      <x:c r="K56" s="216" t="str">
        <x:v>首次测试导入报告v1 / 旧平台兼容包v1</x:v>
      </x:c>
      <x:c r="L56" s="216" t="str">
        <x:v>独立测试库6来源/29片段/48实体/32关系；0重复；原青瓷库未变化</x:v>
      </x:c>
    </x:row>
    <x:row r="57" ht="40" customHeight="1">
      <x:c r="A57" s="216" t="str">
        <x:v>S6-12</x:v>
      </x:c>
      <x:c r="B57" s="216" t="str">
        <x:v>阶段六：平台迁移</x:v>
      </x:c>
      <x:c r="C57" s="216" t="str">
        <x:v>启动唐长安隔离测试平台并完成功能页面验收</x:v>
      </x:c>
      <x:c r="D57" s="216" t="str">
        <x:v>Codex</x:v>
      </x:c>
      <x:c r="E57" s="216" t="str">
        <x:v>已完成</x:v>
      </x:c>
      <x:c r="F57" s="216" t="str">
        <x:v>P0</x:v>
      </x:c>
      <x:c r="G57" s="217" t="n">
        <x:v>46246</x:v>
      </x:c>
      <x:c r="H57" s="217" t="n">
        <x:v>46246</x:v>
      </x:c>
      <x:c r="I57" s="217" t="n">
        <x:v>46246</x:v>
      </x:c>
      <x:c r="J57" s="216" t="str">
        <x:v>改造公众前台品牌、首页统计和长安城专题入口</x:v>
      </x:c>
      <x:c r="K57" s="216" t="str">
        <x:v>平台页面验收报告v1 / 唐长安测试平台</x:v>
      </x:c>
      <x:c r="L57" s="216" t="str">
        <x:v>API与管理端通过；48实体/32关系/6来源；前台仍需迁移</x:v>
      </x:c>
    </x:row>
    <x:row r="58" ht="40" customHeight="1">
      <x:c r="A58" s="216" t="str">
        <x:v>S6-13</x:v>
      </x:c>
      <x:c r="B58" s="216" t="str">
        <x:v>阶段六：平台迁移</x:v>
      </x:c>
      <x:c r="C58" s="216" t="str">
        <x:v>完成唐长安前端第一轮换壳与实时统计改造</x:v>
      </x:c>
      <x:c r="D58" s="216" t="str">
        <x:v>Codex</x:v>
      </x:c>
      <x:c r="E58" s="216" t="str">
        <x:v>已完成</x:v>
      </x:c>
      <x:c r="F58" s="216" t="str">
        <x:v>P0</x:v>
      </x:c>
      <x:c r="G58" s="217" t="n">
        <x:v>46246</x:v>
      </x:c>
      <x:c r="H58" s="217" t="n">
        <x:v>46246</x:v>
      </x:c>
      <x:c r="I58" s="217" t="n">
        <x:v>46246</x:v>
      </x:c>
      <x:c r="J58" s="216" t="str">
        <x:v>设计并执行首批小型测试发布</x:v>
      </x:c>
      <x:c r="K58" s="216" t="str">
        <x:v>前端换壳与实时统计验收报告v1 / 平台提交3a4b019</x:v>
      </x:c>
      <x:c r="L58" s="216" t="str">
        <x:v>品牌与数据统计迁移通过；公开端仍严格限制published+public</x:v>
      </x:c>
    </x:row>
    <x:row r="59" ht="44" customHeight="1">
      <x:c r="A59" s="216" t="str">
        <x:v>S6-14</x:v>
      </x:c>
      <x:c r="B59" s="216" t="str">
        <x:v>阶段六：平台迁移</x:v>
      </x:c>
      <x:c r="C59" s="216" t="str">
        <x:v>完成首次小型闭环测试发布与公众端验收</x:v>
      </x:c>
      <x:c r="D59" s="216" t="str">
        <x:v>Codex</x:v>
      </x:c>
      <x:c r="E59" s="216" t="str">
        <x:v>已完成</x:v>
      </x:c>
      <x:c r="F59" s="216" t="str">
        <x:v>P0</x:v>
      </x:c>
      <x:c r="G59" s="217" t="n">
        <x:v>46246</x:v>
      </x:c>
      <x:c r="H59" s="217" t="n">
        <x:v>46246</x:v>
      </x:c>
      <x:c r="I59" s="217" t="n">
        <x:v>46246</x:v>
      </x:c>
      <x:c r="J59" s="216" t="str">
        <x:v>人工审核公众搜索、图谱和证据卡片展示，再确定第二批发布范围</x:v>
      </x:c>
      <x:c r="K59" s="216" t="str">
        <x:v>首次小型测试发布报告v1 / 发布版本v1</x:v>
      </x:c>
      <x:c r="L59" s="216" t="str">
        <x:v>2实体/1关系/1来源/2片段；检索4文档；依赖校验与回滚快照通过</x:v>
      </x:c>
    </x:row>
    <x:row r="60" ht="44" customHeight="1">
      <x:c r="A60" s="216" t="str">
        <x:v>S6-15</x:v>
      </x:c>
      <x:c r="B60" s="216" t="str">
        <x:v>阶段六：平台迁移</x:v>
      </x:c>
      <x:c r="C60" s="216" t="str">
        <x:v>完成首次小型发布人工审核并启动第二批候选筛选</x:v>
      </x:c>
      <x:c r="D60" s="216" t="str">
        <x:v>用户 / Codex</x:v>
      </x:c>
      <x:c r="E60" s="216" t="str">
        <x:v>已完成</x:v>
      </x:c>
      <x:c r="F60" s="216" t="str">
        <x:v>P0</x:v>
      </x:c>
      <x:c r="G60" s="217" t="n">
        <x:v>46246</x:v>
      </x:c>
      <x:c r="H60" s="217" t="n">
        <x:v>46246</x:v>
      </x:c>
      <x:c r="I60" s="217" t="n">
        <x:v>46246</x:v>
      </x:c>
      <x:c r="J60" s="216" t="str">
        <x:v>人工抽查第二批公众图谱，再确定正式迁移优先级</x:v>
      </x:c>
      <x:c r="K60" s="216" t="str">
        <x:v>第二批平台发布报告v1 / 发布版本v2</x:v>
      </x:c>
      <x:c r="L60" s="216" t="str">
        <x:v>发布8实体/4关系/4片段；公众总量10实体/5关系/1来源/6片段</x:v>
      </x:c>
    </x:row>
    <x:row r="61" ht="44" customHeight="1">
      <x:c r="A61" s="216" t="str">
        <x:v>S6-16</x:v>
      </x:c>
      <x:c r="B61" s="216" t="str">
        <x:v>阶段六：平台迁移</x:v>
      </x:c>
      <x:c r="C61" s="216" t="str">
        <x:v>人工抽查第二批发布并确定正式迁移优先级</x:v>
      </x:c>
      <x:c r="D61" s="216" t="str">
        <x:v>用户 / Codex</x:v>
      </x:c>
      <x:c r="E61" s="216" t="str">
        <x:v>待审核</x:v>
      </x:c>
      <x:c r="F61" s="216" t="str">
        <x:v>P0</x:v>
      </x:c>
      <x:c r="G61" s="217" t="n">
        <x:v>46246</x:v>
      </x:c>
      <x:c r="H61" s="217" t="n">
        <x:v>46246</x:v>
      </x:c>
      <x:c r="I61" s="217"/>
      <x:c r="J61" s="216" t="str">
        <x:v>抽查4个新闭环；选择先迁移空间基础事实或先审核研究解释</x:v>
      </x:c>
      <x:c r="K61" s="216" t="str">
        <x:v>第二批公众页面审核记录 / 正式迁移批次方案</x:v>
      </x:c>
      <x:c r="L61" s="216" t="str">
        <x:v>小型试发技术链路已经连续两批通过</x:v>
      </x:c>
    </x:row>
    <x:row r="62" ht="48" customHeight="1">
      <x:c r="A62" s="216" t="str">
        <x:v>S6-17</x:v>
      </x:c>
      <x:c r="B62" s="216" t="str">
        <x:v>阶段六：平台迁移</x:v>
      </x:c>
      <x:c r="C62" s="216" t="str">
        <x:v>同步小型样例实体表与关系表，并修复转换去重</x:v>
      </x:c>
      <x:c r="D62" s="216" t="str">
        <x:v>Codex</x:v>
      </x:c>
      <x:c r="E62" s="216" t="str">
        <x:v>已完成</x:v>
      </x:c>
      <x:c r="F62" s="216" t="str">
        <x:v>P0</x:v>
      </x:c>
      <x:c r="G62" s="217" t="n">
        <x:v>46246</x:v>
      </x:c>
      <x:c r="H62" s="217" t="n">
        <x:v>46246</x:v>
      </x:c>
      <x:c r="I62" s="217" t="n">
        <x:v>46246</x:v>
      </x:c>
      <x:c r="J62" s="216" t="str">
        <x:v>人工抽查v4；后续以v4作为小型样例唯一工作版本</x:v>
      </x:c>
      <x:c r="K62" s="216" t="str">
        <x:v>小型样例v4 / 转换程序去重修复</x:v>
      </x:c>
      <x:c r="L62" s="216" t="str">
        <x:v>实体表23→48，关系表10→32；重新转换0错误、0警告、0重复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</x:sheetData>
  <x:mergeCells>
    <x:mergeCell ref="A1:F1"/>
    <x:mergeCell ref="A2:F2"/>
  </x:mergeCells>
  <x:pageMargins left="0.7" right="0.7" top="0.75" bottom="0.75" header="0.3" footer="0.3"/>
</x:worksheet>
</file>
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c40cf87b448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a5bbd8064b864423"/>
    <x:sheet xmlns:r="http://schemas.openxmlformats.org/officeDocument/2006/relationships" name="工作清单" sheetId="2" r:id="Re4cd9d4b08a54f91"/>
    <x:sheet xmlns:r="http://schemas.openxmlformats.org/officeDocument/2006/relationships" name="里程碑" sheetId="3" r:id="R834528c94f6e4ef1"/>
    <x:sheet xmlns:r="http://schemas.openxmlformats.org/officeDocument/2006/relationships" name="更新日志" sheetId="4" r:id="Rf8116534fb464b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1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3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31694581b54c53" /><Relationship Type="http://schemas.openxmlformats.org/officeDocument/2006/relationships/theme" Target="/xl/theme/theme1.xml" Id="R1f567044c8a545c1" /><Relationship Type="http://schemas.openxmlformats.org/officeDocument/2006/relationships/sharedStrings" Target="/xl/sharedStrings.xml" Id="R93980eaa49444f38" /><Relationship Type="http://schemas.openxmlformats.org/officeDocument/2006/relationships/worksheet" Target="/xl/worksheets/sheet1.xml" Id="Ra5bbd8064b864423" /><Relationship Type="http://schemas.openxmlformats.org/officeDocument/2006/relationships/worksheet" Target="/xl/worksheets/sheet2.xml" Id="Re4cd9d4b08a54f91" /><Relationship Type="http://schemas.openxmlformats.org/officeDocument/2006/relationships/worksheet" Target="/xl/worksheets/sheet3.xml" Id="R834528c94f6e4ef1" /><Relationship Type="http://schemas.openxmlformats.org/officeDocument/2006/relationships/worksheet" Target="/xl/worksheets/sheet4.xml" Id="Rf8116534fb464b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f53debab448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f53debab448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21ec5a2cc042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221" t="str">
        <x:v>唐长安城知识图谱 · 今日进度看板</x:v>
      </x:c>
      <x:c r="B1" s="221"/>
      <x:c r="C1" s="221"/>
      <x:c r="D1" s="221"/>
      <x:c r="E1" s="221"/>
      <x:c r="F1" s="221"/>
      <x:c r="G1" s="221"/>
      <x:c r="H1" s="221"/>
      <x:c r="I1" s="221"/>
      <x:c r="J1" s="221"/>
      <x:c r="K1" s="221"/>
      <x:c r="L1" s="221"/>
    </x:row>
    <x:row r="3" ht="24" customHeight="1">
      <x:c r="A3" s="224" t="str">
        <x:v>只看这一页即可：它会根据“工作清单”的状态自动更新。最近更新：2026-08-12</x:v>
      </x:c>
      <x:c r="B3" s="224"/>
      <x:c r="C3" s="224"/>
      <x:c r="D3" s="224"/>
      <x:c r="E3" s="224"/>
      <x:c r="F3" s="224"/>
      <x:c r="G3" s="224"/>
      <x:c r="H3" s="224"/>
      <x:c r="I3" s="224"/>
      <x:c r="J3" s="224"/>
      <x:c r="K3" s="224"/>
      <x:c r="L3" s="224"/>
    </x:row>
    <x:row r="4">
      <x:c r="N4"/>
      <x:c r="O4"/>
    </x:row>
    <x:row r="5">
      <x:c r="A5" s="226" t="str">
        <x:v>总任务数</x:v>
      </x:c>
      <x:c r="B5" s="226"/>
      <x:c r="C5" s="226"/>
      <x:c r="D5" s="226" t="str">
        <x:v>已完成</x:v>
      </x:c>
      <x:c r="E5" s="226"/>
      <x:c r="F5" s="226"/>
      <x:c r="G5" s="226" t="str">
        <x:v>进行中</x:v>
      </x:c>
      <x:c r="H5" s="226"/>
      <x:c r="I5" s="226"/>
      <x:c r="J5" s="226" t="str">
        <x:v>完成率</x:v>
      </x:c>
      <x:c r="K5" s="226"/>
      <x:c r="L5" s="226"/>
      <x:c r="N5"/>
      <x:c r="O5"/>
    </x:row>
    <x:row r="6" ht="32" customHeight="1">
      <x:c r="A6" s="230" t="n">
        <x:f>COUNTA('工作清单'!$A$4:$A$200)</x:f>
        <x:v>62</x:v>
      </x:c>
      <x:c r="B6" s="230"/>
      <x:c r="C6" s="230"/>
      <x:c r="D6" s="230" t="n">
        <x:f>COUNTIF('工作清单'!$E$4:$E$200,"已完成")</x:f>
        <x:v>30</x:v>
      </x:c>
      <x:c r="E6" s="230"/>
      <x:c r="F6" s="230"/>
      <x:c r="G6" s="234" t="n">
        <x:f>COUNTIF('工作清单'!$E$4:$E$200,"进行中")</x:f>
        <x:v>6</x:v>
      </x:c>
      <x:c r="H6" s="234"/>
      <x:c r="I6" s="234"/>
      <x:c r="J6" s="239" t="n">
        <x:f>IFERROR(D6/A6,0)</x:f>
        <x:v>0.4838709677419355</x:v>
      </x:c>
      <x:c r="K6" s="239"/>
      <x:c r="L6" s="239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243" t="str">
        <x:v>现在做到哪里</x:v>
      </x:c>
      <x:c r="B9" s="243"/>
      <x:c r="C9" s="243"/>
      <x:c r="D9" s="243"/>
      <x:c r="E9" s="243"/>
      <x:c r="F9" s="243"/>
      <x:c r="G9" s="243"/>
      <x:c r="H9" s="243"/>
      <x:c r="I9" s="243"/>
      <x:c r="J9" s="243"/>
      <x:c r="K9" s="243"/>
      <x:c r="L9" s="243"/>
      <x:c r="N9"/>
      <x:c r="O9"/>
    </x:row>
    <x:row r="10" ht="22" customHeight="1">
      <x:c r="A10" s="262" t="str">
        <x:v>当前阶段：正式迁移前P0结构补全已完成，等待人工审核
总体状态：v7包含7来源、31片段、57实体、62关系；结构校验0错误、0警告
本次完成：建立外郭城实体、补齐永安渠六坊编号、替换平康坊占位记录，并修正其与崇仁坊的南北方向</x:v>
      </x:c>
      <x:c r="B10" s="263"/>
      <x:c r="C10" s="263"/>
      <x:c r="D10" s="263"/>
      <x:c r="E10" s="263"/>
      <x:c r="F10" s="263"/>
      <x:c r="G10" s="263"/>
      <x:c r="H10" s="263"/>
      <x:c r="I10" s="263"/>
      <x:c r="J10" s="263"/>
      <x:c r="K10" s="263"/>
      <x:c r="L10" s="264"/>
    </x:row>
    <x:row r="11" ht="22" customHeight="1">
      <x:c r="A11" s="265"/>
      <x:c r="B11" s="266"/>
      <x:c r="C11" s="266"/>
      <x:c r="D11" s="266"/>
      <x:c r="E11" s="266"/>
      <x:c r="F11" s="266"/>
      <x:c r="G11" s="266"/>
      <x:c r="H11" s="266"/>
      <x:c r="I11" s="266"/>
      <x:c r="J11" s="266"/>
      <x:c r="K11" s="266"/>
      <x:c r="L11" s="267"/>
    </x:row>
    <x:row r="12" ht="22" customHeight="1">
      <x:c r="A12" s="268"/>
      <x:c r="B12" s="269"/>
      <x:c r="C12" s="269"/>
      <x:c r="D12" s="269"/>
      <x:c r="E12" s="269"/>
      <x:c r="F12" s="269"/>
      <x:c r="G12" s="269"/>
      <x:c r="H12" s="269"/>
      <x:c r="I12" s="269"/>
      <x:c r="J12" s="269"/>
      <x:c r="K12" s="269"/>
      <x:c r="L12" s="270"/>
    </x:row>
    <x:row r="13">
      <x:c r="A13"/>
      <x:c r="B13"/>
      <x:c r="C13"/>
      <x:c r="D13"/>
      <x:c r="E13"/>
      <x:c r="F13"/>
    </x:row>
    <x:row r="14">
      <x:c r="A14" s="243" t="str">
        <x:v>下一步只做这三件事</x:v>
      </x:c>
      <x:c r="B14" s="243"/>
      <x:c r="C14" s="243"/>
      <x:c r="D14" s="243"/>
      <x:c r="E14" s="243"/>
      <x:c r="F14" s="243"/>
      <x:c r="G14" s="243"/>
      <x:c r="H14" s="243"/>
      <x:c r="I14" s="243"/>
      <x:c r="J14" s="243"/>
      <x:c r="K14" s="243"/>
      <x:c r="L14" s="243"/>
    </x:row>
    <x:row r="15" ht="22" customHeight="1">
      <x:c r="A15" s="289" t="str">
        <x:v>1. 审核外郭城TC-AREA-0003及5个城门归属关系。
2. 审核永安渠六坊关系，重点确认‘廷福/延福’异文。
3. 审核平康坊SOUTH_OF崇仁坊及两坊邻近TC-ROAD-0004；通过后升级提取Skill。</x:v>
      </x:c>
      <x:c r="B15" s="290"/>
      <x:c r="C15" s="290"/>
      <x:c r="D15" s="290"/>
      <x:c r="E15" s="290"/>
      <x:c r="F15" s="290"/>
      <x:c r="G15" s="290"/>
      <x:c r="H15" s="290"/>
      <x:c r="I15" s="290"/>
      <x:c r="J15" s="290"/>
      <x:c r="K15" s="290"/>
      <x:c r="L15" s="291"/>
    </x:row>
    <x:row r="16" ht="22" customHeight="1">
      <x:c r="A16" s="292"/>
      <x:c r="B16" s="293"/>
      <x:c r="C16" s="293"/>
      <x:c r="D16" s="293"/>
      <x:c r="E16" s="293"/>
      <x:c r="F16" s="293"/>
      <x:c r="G16" s="293"/>
      <x:c r="H16" s="293"/>
      <x:c r="I16" s="293"/>
      <x:c r="J16" s="293"/>
      <x:c r="K16" s="293"/>
      <x:c r="L16" s="294"/>
    </x:row>
    <x:row r="17" ht="22" customHeight="1">
      <x:c r="A17" s="295"/>
      <x:c r="B17" s="296"/>
      <x:c r="C17" s="296"/>
      <x:c r="D17" s="296"/>
      <x:c r="E17" s="296"/>
      <x:c r="F17" s="296"/>
      <x:c r="G17" s="296"/>
      <x:c r="H17" s="296"/>
      <x:c r="I17" s="296"/>
      <x:c r="J17" s="296"/>
      <x:c r="K17" s="296"/>
      <x:c r="L17" s="297"/>
    </x:row>
    <x:row r="18">
      <x:c r="A18"/>
      <x:c r="B18"/>
      <x:c r="C18"/>
      <x:c r="D18"/>
      <x:c r="E18"/>
      <x:c r="F18"/>
    </x:row>
    <x:row r="19">
      <x:c r="A19" s="243" t="str">
        <x:v>重要提醒</x:v>
      </x:c>
      <x:c r="B19" s="243"/>
      <x:c r="C19" s="243"/>
      <x:c r="D19" s="243"/>
      <x:c r="E19" s="243"/>
      <x:c r="F19" s="243"/>
      <x:c r="G19" s="243"/>
      <x:c r="H19" s="243"/>
      <x:c r="I19" s="243"/>
      <x:c r="J19" s="243"/>
      <x:c r="K19" s="243"/>
      <x:c r="L19" s="243"/>
    </x:row>
    <x:row r="20" ht="22" customHeight="1">
      <x:c r="A20" s="317" t="str">
        <x:v>v7是当前小型样例工作版本，平台导入包v3为待审核导入基线。本次新增数据均为待审核，尚未写入或发布到平台。
注意：项目坐标y值向南递增，所以平康坊(3,1)位于崇仁坊(3,0)南侧。</x:v>
      </x:c>
      <x:c r="B20" s="318"/>
      <x:c r="C20" s="318"/>
      <x:c r="D20" s="318"/>
      <x:c r="E20" s="318"/>
      <x:c r="F20" s="318"/>
      <x:c r="G20" s="318"/>
      <x:c r="H20" s="318"/>
      <x:c r="I20" s="318"/>
      <x:c r="J20" s="318"/>
      <x:c r="K20" s="318"/>
      <x:c r="L20" s="319"/>
    </x:row>
    <x:row r="21" ht="22" customHeight="1">
      <x:c r="A21" s="320"/>
      <x:c r="B21" s="321"/>
      <x:c r="C21" s="321"/>
      <x:c r="D21" s="321"/>
      <x:c r="E21" s="321"/>
      <x:c r="F21" s="321"/>
      <x:c r="G21" s="321"/>
      <x:c r="H21" s="321"/>
      <x:c r="I21" s="321"/>
      <x:c r="J21" s="321"/>
      <x:c r="K21" s="321"/>
      <x:c r="L21" s="322"/>
    </x:row>
    <x:row r="22" ht="22" customHeight="1">
      <x:c r="A22" s="323"/>
      <x:c r="B22" s="324"/>
      <x:c r="C22" s="324"/>
      <x:c r="D22" s="324"/>
      <x:c r="E22" s="324"/>
      <x:c r="F22" s="324"/>
      <x:c r="G22" s="324"/>
      <x:c r="H22" s="324"/>
      <x:c r="I22" s="324"/>
      <x:c r="J22" s="324"/>
      <x:c r="K22" s="324"/>
      <x:c r="L22" s="325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bb21ec5a2cc042e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样例通过后升级</x:v>
      </x:c>
      <x:c r="K33" s="16" t="str">
        <x:v>knowledge-graph-extraction v2</x:v>
      </x:c>
      <x:c r="L33" s="16"/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尚未开始</x:v>
      </x:c>
      <x:c r="F34" s="16" t="str">
        <x:v>P1</x:v>
      </x:c>
      <x:c r="G34" s="17"/>
      <x:c r="H34" s="17"/>
      <x:c r="I34" s="17"/>
      <x:c r="J34" s="16" t="str">
        <x:v>与字段规范一致</x:v>
      </x:c>
      <x:c r="K34" s="16" t="str">
        <x:v>提取规范v2</x:v>
      </x:c>
      <x:c r="L34" s="16"/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共同</x:v>
      </x:c>
      <x:c r="E35" s="16" t="str">
        <x:v>尚未开始</x:v>
      </x:c>
      <x:c r="F35" s="16" t="str">
        <x:v>P1</x:v>
      </x:c>
      <x:c r="G35" s="17"/>
      <x:c r="H35" s="17"/>
      <x:c r="I35" s="17"/>
      <x:c r="J35" s="16" t="str">
        <x:v>比较人工审核结果</x:v>
      </x:c>
      <x:c r="K35" s="16" t="str">
        <x:v>测试报告</x:v>
      </x:c>
      <x:c r="L35" s="16"/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补齐正式迁移前P0结构端点并修正平康坊方向</x:v>
      </x:c>
      <x:c r="D55" s="216" t="str">
        <x:v>Codex</x:v>
      </x:c>
      <x:c r="E55" s="216" t="str">
        <x:v>待审核</x:v>
      </x:c>
      <x:c r="F55" s="216" t="str">
        <x:v>P0</x:v>
      </x:c>
      <x:c r="G55" s="217" t="str">
        <x:v>2026-08-12</x:v>
      </x:c>
      <x:c r="H55" s="217" t="str">
        <x:v>2026-08-13</x:v>
      </x:c>
      <x:c r="I55" s="217"/>
      <x:c r="J55" s="216" t="str">
        <x:v>依次审核外郭城归属、永安渠六坊、平康坊空间关系</x:v>
      </x:c>
      <x:c r="K55" s="216" t="str">
        <x:v>小型样例v7 / 平台导入包v3 / P0结构补全说明v1</x:v>
      </x:c>
      <x:c r="L55" s="216" t="str">
        <x:v>新增9实体、14关系、1来源、2片段；57实体/62关系；0错误、0警告；未导入平台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</x:sheetData>
  <x:mergeCells>
    <x:mergeCell ref="A1:F1"/>
    <x:mergeCell ref="A2:F2"/>
  </x:mergeCells>
  <x:pageMargins left="0.7" right="0.7" top="0.75" bottom="0.75" header="0.3" footer="0.3"/>
</x:worksheet>
</file>
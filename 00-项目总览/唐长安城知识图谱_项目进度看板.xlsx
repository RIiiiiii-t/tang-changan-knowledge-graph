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a306bb353c47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67ccc771ea914c01"/>
    <x:sheet xmlns:r="http://schemas.openxmlformats.org/officeDocument/2006/relationships" name="工作清单" sheetId="2" r:id="R4f319ca1ce404da2"/>
    <x:sheet xmlns:r="http://schemas.openxmlformats.org/officeDocument/2006/relationships" name="里程碑" sheetId="3" r:id="R8e937f73d3274450"/>
    <x:sheet xmlns:r="http://schemas.openxmlformats.org/officeDocument/2006/relationships" name="更新日志" sheetId="4" r:id="Rfa54bf5a9cec4d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ea28915a6a4fab" /><Relationship Type="http://schemas.openxmlformats.org/officeDocument/2006/relationships/theme" Target="/xl/theme/theme1.xml" Id="Rd15b263df05d4689" /><Relationship Type="http://schemas.openxmlformats.org/officeDocument/2006/relationships/sharedStrings" Target="/xl/sharedStrings.xml" Id="R56f4e766afaf462e" /><Relationship Type="http://schemas.openxmlformats.org/officeDocument/2006/relationships/worksheet" Target="/xl/worksheets/sheet1.xml" Id="R67ccc771ea914c01" /><Relationship Type="http://schemas.openxmlformats.org/officeDocument/2006/relationships/worksheet" Target="/xl/worksheets/sheet2.xml" Id="R4f319ca1ce404da2" /><Relationship Type="http://schemas.openxmlformats.org/officeDocument/2006/relationships/worksheet" Target="/xl/worksheets/sheet3.xml" Id="R8e937f73d3274450" /><Relationship Type="http://schemas.openxmlformats.org/officeDocument/2006/relationships/worksheet" Target="/xl/worksheets/sheet4.xml" Id="Rfa54bf5a9cec4dd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2eb819d8d04d5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2eb819d8d04d5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f7c412d41e2434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只看这一页即可：它会根据“工作清单”的状态自动更新。最近更新：2026-08-10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13</x:v>
      </x:c>
    </x:row>
    <x:row r="6">
      <x:c r="A6" s="40" t="n">
        <x:f>COUNTA('工作清单'!$A$4:$A$100)</x:f>
        <x:v>46</x:v>
      </x:c>
      <x:c r="B6" s="41"/>
      <x:c r="C6" s="42"/>
      <x:c r="D6" s="68" t="n">
        <x:f>COUNTIF('工作清单'!$E$4:$E$100,"已完成")</x:f>
        <x:v>13</x:v>
      </x:c>
      <x:c r="E6" s="69"/>
      <x:c r="F6" s="70"/>
      <x:c r="G6" s="96" t="n">
        <x:f>COUNTIF('工作清单'!$E$4:$E$100,"进行中")</x:f>
        <x:v>7</x:v>
      </x:c>
      <x:c r="H6" s="97"/>
      <x:c r="I6" s="98"/>
      <x:c r="J6" s="133" t="n">
        <x:f>IFERROR(COUNTIF('工作清单'!$E$4:$E$100,"已完成")/COUNTA('工作清单'!$A$4:$A$100),0)</x:f>
        <x:v>0.2826086956521739</x:v>
      </x:c>
      <x:c r="K6" s="134"/>
      <x:c r="L6" s="135"/>
      <x:c r="N6" t="str">
        <x:v>进行中</x:v>
      </x:c>
      <x:c r="O6" t="n">
        <x:f>COUNTIF('工作清单'!$E$4:$E$100,N6)</x:f>
        <x:v>7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当前阶段：阶段三专项研究论文筛选与精读
总体状态：相关论文12篇已完成初筛，确定首批精读5篇
分组结果：2篇核心直接研究、3篇辅助机制、5篇后续备用、2篇本轮暂不采用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精读贺从容《（隋大兴）唐长安城坊内的道路》。
2. 精读张小娟《唐宋都城内部道路交通研究》。
3. 用防火、绿化、基础设施3篇论文检验解释机制并试录研究结论。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证据提醒：道路宽度、走向、等级是基础事实；“为何宽阔”是研究解释。防火、绿化等材料若未明确联系唐长安，只能记为间接支持或待验证假说，不能写成确定动因。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8f7c412d41e2434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用道路宽度专题论文试录字段</x:v>
      </x:c>
      <x:c r="K48" t="str">
        <x:v>道路宽度专题_论文筛选清单_v1.md</x:v>
      </x:c>
      <x:c r="L48" t="str">
        <x:v>先用真实论文检验字段，再决定是否增删</x:v>
      </x:c>
    </x:row>
    <x:row r="49">
      <x:c r="A49" t="str">
        <x:v>S3-06</x:v>
      </x:c>
      <x:c r="B49" t="str">
        <x:v>阶段三：文献建设</x:v>
      </x:c>
      <x:c r="C49" t="str">
        <x:v>收集专项研究论文并建立小型专题综述</x:v>
      </x:c>
      <x:c r="D49" t="str">
        <x:v>我</x:v>
      </x:c>
      <x:c r="E49" t="str">
        <x:v>进行中</x:v>
      </x:c>
      <x:c r="F49" t="str">
        <x:v>P1</x:v>
      </x:c>
      <x:c r="G49" t="str">
        <x:v>2026-08-10</x:v>
      </x:c>
      <x:c r="H49"/>
      <x:c r="I49"/>
      <x:c r="J49" t="str">
        <x:v>精读首批5篇并建立研究结论条目</x:v>
      </x:c>
      <x:c r="K49" t="str">
        <x:v>道路宽度专题_论文筛选清单_v1.md</x:v>
      </x:c>
      <x:c r="L49" t="str">
        <x:v>12篇已初筛；2篇核心、3篇辅助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</x:sheetData>
  <x:mergeCells>
    <x:mergeCell ref="A1:F1"/>
    <x:mergeCell ref="A2:F2"/>
  </x:mergeCells>
  <x:pageMargins left="0.7" right="0.7" top="0.75" bottom="0.75" header="0.3" footer="0.3"/>
</x:worksheet>
</file>
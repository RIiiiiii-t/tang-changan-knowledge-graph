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9c2defcea4c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73b6b4f1b0524fd6"/>
    <x:sheet xmlns:r="http://schemas.openxmlformats.org/officeDocument/2006/relationships" name="工作清单" sheetId="2" r:id="R789a1de2057c4be2"/>
    <x:sheet xmlns:r="http://schemas.openxmlformats.org/officeDocument/2006/relationships" name="里程碑" sheetId="3" r:id="R63311772b39d4a83"/>
    <x:sheet xmlns:r="http://schemas.openxmlformats.org/officeDocument/2006/relationships" name="更新日志" sheetId="4" r:id="R44f870a4466746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fb5288b8b9471e" /><Relationship Type="http://schemas.openxmlformats.org/officeDocument/2006/relationships/theme" Target="/xl/theme/theme1.xml" Id="R941c4c9008094f92" /><Relationship Type="http://schemas.openxmlformats.org/officeDocument/2006/relationships/sharedStrings" Target="/xl/sharedStrings.xml" Id="R4f153cf64c744320" /><Relationship Type="http://schemas.openxmlformats.org/officeDocument/2006/relationships/worksheet" Target="/xl/worksheets/sheet1.xml" Id="R73b6b4f1b0524fd6" /><Relationship Type="http://schemas.openxmlformats.org/officeDocument/2006/relationships/worksheet" Target="/xl/worksheets/sheet2.xml" Id="R789a1de2057c4be2" /><Relationship Type="http://schemas.openxmlformats.org/officeDocument/2006/relationships/worksheet" Target="/xl/worksheets/sheet3.xml" Id="R63311772b39d4a83" /><Relationship Type="http://schemas.openxmlformats.org/officeDocument/2006/relationships/worksheet" Target="/xl/worksheets/sheet4.xml" Id="R44f870a4466746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9f4847c1cd4cf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9f4847c1cd4cf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65a05d707bb4b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只看这一页即可：它会根据“工作清单”的状态自动更新。最近更新：2026-08-12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30</x:v>
      </x:c>
    </x:row>
    <x:row r="6">
      <x:c r="A6" s="40" t="n">
        <x:f>COUNTA('工作清单'!$A$4:$A$100)</x:f>
        <x:v>61</x:v>
      </x:c>
      <x:c r="B6" s="41"/>
      <x:c r="C6" s="42"/>
      <x:c r="D6" s="68" t="n">
        <x:f>COUNTIF('工作清单'!$E$4:$E$100,"已完成")</x:f>
        <x:v>30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0.4918032786885246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21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当前阶段：第三批空间基础事实已正式发布并通过网页验收
总体状态：数据库48实体、43关系、6来源、29片段；公开21实体、16关系、2来源、12片段
本次完成：11条专题关系、11个端点实体及6条证据片段进入发布版本v3，索引同步完成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补齐外郭城区域编号、永安渠所经六坊编号和平康坊演示数据。
2. 用v6及三批验收经验升级knowledge-graph-extraction Skill。
3. 按“基础事实→研究解释”的顺序开始正式全量迁移。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v6是当前小型样例工作版本；平台导入包v2为当前导入基线。第三批发布v3已完成，公开检索与图谱均可见。尚未补齐的示例行、外郭城编号和永安渠六坊编号继续被转换程序阻断，不会误入平台。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465a05d707bb4b2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样例通过后升级</x:v>
      </x:c>
      <x:c r="K33" s="16" t="str">
        <x:v>knowledge-graph-extraction v2</x:v>
      </x:c>
      <x:c r="L33" s="16"/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尚未开始</x:v>
      </x:c>
      <x:c r="F34" s="16" t="str">
        <x:v>P1</x:v>
      </x:c>
      <x:c r="G34" s="17"/>
      <x:c r="H34" s="17"/>
      <x:c r="I34" s="17"/>
      <x:c r="J34" s="16" t="str">
        <x:v>与字段规范一致</x:v>
      </x:c>
      <x:c r="K34" s="16" t="str">
        <x:v>提取规范v2</x:v>
      </x:c>
      <x:c r="L34" s="16"/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共同</x:v>
      </x:c>
      <x:c r="E35" s="16" t="str">
        <x:v>尚未开始</x:v>
      </x:c>
      <x:c r="F35" s="16" t="str">
        <x:v>P1</x:v>
      </x:c>
      <x:c r="G35" s="17"/>
      <x:c r="H35" s="17"/>
      <x:c r="I35" s="17"/>
      <x:c r="J35" s="16" t="str">
        <x:v>比较人工审核结果</x:v>
      </x:c>
      <x:c r="K35" s="16" t="str">
        <x:v>测试报告</x:v>
      </x:c>
      <x:c r="L35" s="16"/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补齐外郭城区域、永安渠六坊编号和平康坊演示数据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S7-01</x:v>
      </x:c>
      <x:c r="B55" s="216" t="str">
        <x:v>阶段七：全量提取</x:v>
      </x:c>
      <x:c r="C55" s="216" t="str">
        <x:v>完成108坊功能数据</x:v>
      </x:c>
      <x:c r="D55" s="216" t="str">
        <x:v>同事</x:v>
      </x:c>
      <x:c r="E55" s="216" t="str">
        <x:v>尚未开始</x:v>
      </x:c>
      <x:c r="F55" s="216" t="str">
        <x:v>P1</x:v>
      </x:c>
      <x:c r="G55" s="217"/>
      <x:c r="H55" s="217"/>
      <x:c r="I55" s="217"/>
      <x:c r="J55" s="216" t="str">
        <x:v>小样例通过后分批提取</x:v>
      </x:c>
      <x:c r="K55" s="216" t="str">
        <x:v>坊功能全量表</x:v>
      </x:c>
      <x:c r="L55" s="216"/>
    </x:row>
    <x:row r="56" ht="40" customHeight="1">
      <x:c r="A56" s="216" t="str">
        <x:v>S7-02</x:v>
      </x:c>
      <x:c r="B56" s="216" t="str">
        <x:v>阶段七：全量提取</x:v>
      </x:c>
      <x:c r="C56" s="216" t="str">
        <x:v>完成道路分级数据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分批提取与审核</x:v>
      </x:c>
      <x:c r="K56" s="216" t="str">
        <x:v>道路全量表</x:v>
      </x:c>
      <x:c r="L56" s="216"/>
    </x:row>
    <x:row r="57" ht="40" customHeight="1">
      <x:c r="A57" s="216" t="str">
        <x:v>S7-03</x:v>
      </x:c>
      <x:c r="B57" s="216" t="str">
        <x:v>阶段七：全量提取</x:v>
      </x:c>
      <x:c r="C57" s="216" t="str">
        <x:v>完成水渠数据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水渠全量表</x:v>
      </x:c>
      <x:c r="L57" s="216"/>
    </x:row>
    <x:row r="58" ht="40" customHeight="1">
      <x:c r="A58" s="216" t="str">
        <x:v>S7-04</x:v>
      </x:c>
      <x:c r="B58" s="216" t="str">
        <x:v>阶段七：全量提取</x:v>
      </x:c>
      <x:c r="C58" s="216" t="str">
        <x:v>完成城门数据</x:v>
      </x:c>
      <x:c r="D58" s="216" t="str">
        <x:v>我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严格区分城门与内门</x:v>
      </x:c>
      <x:c r="K58" s="216" t="str">
        <x:v>城门全量表</x:v>
      </x:c>
      <x:c r="L58" s="216"/>
    </x:row>
    <x:row r="59" ht="44" customHeight="1">
      <x:c r="A59" s="216" t="str">
        <x:v>S7-05</x:v>
      </x:c>
      <x:c r="B59" s="216" t="str">
        <x:v>阶段七：全量提取</x:v>
      </x:c>
      <x:c r="C59" s="216" t="str">
        <x:v>完成尺度关系数据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全部公式人工复核</x:v>
      </x:c>
      <x:c r="K59" s="216" t="str">
        <x:v>尺度关系全量表</x:v>
      </x:c>
      <x:c r="L59" s="216"/>
    </x:row>
    <x:row r="60" ht="44" customHeight="1">
      <x:c r="A60" s="216" t="str">
        <x:v>S7-06</x:v>
      </x:c>
      <x:c r="B60" s="216" t="str">
        <x:v>阶段七：全量提取</x:v>
      </x:c>
      <x:c r="C60" s="216" t="str">
        <x:v>完成功能分区规则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必须检索反例</x:v>
      </x:c>
      <x:c r="K60" s="216" t="str">
        <x:v>规则全量表</x:v>
      </x:c>
      <x:c r="L60" s="216"/>
    </x:row>
    <x:row r="61" ht="44" customHeight="1">
      <x:c r="A61" s="216" t="str">
        <x:v>S8-01</x:v>
      </x:c>
      <x:c r="B61" s="216" t="str">
        <x:v>阶段八：质量检查</x:v>
      </x:c>
      <x:c r="C61" s="216" t="str">
        <x:v>完成数据完整性、历史语义和数值检查</x:v>
      </x:c>
      <x:c r="D61" s="216" t="str">
        <x:v>共同</x:v>
      </x:c>
      <x:c r="E61" s="216" t="str">
        <x:v>尚未开始</x:v>
      </x:c>
      <x:c r="F61" s="216" t="str">
        <x:v>P0</x:v>
      </x:c>
      <x:c r="G61" s="217"/>
      <x:c r="H61" s="217"/>
      <x:c r="I61" s="217"/>
      <x:c r="J61" s="216" t="str">
        <x:v>全量导入前完成</x:v>
      </x:c>
      <x:c r="K61" s="216" t="str">
        <x:v>质量报告</x:v>
      </x:c>
      <x:c r="L61" s="216"/>
    </x:row>
    <x:row r="62" ht="48" customHeight="1">
      <x:c r="A62" s="216" t="str">
        <x:v>S8-02</x:v>
      </x:c>
      <x:c r="B62" s="216" t="str">
        <x:v>阶段八：质量检查</x:v>
      </x:c>
      <x:c r="C62" s="216" t="str">
        <x:v>完成系统测试与重复导入测试</x:v>
      </x:c>
      <x:c r="D62" s="216" t="str">
        <x:v>Codex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发布前完成</x:v>
      </x:c>
      <x:c r="K62" s="216" t="str">
        <x:v>系统测试报告</x:v>
      </x:c>
      <x:c r="L62" s="216"/>
    </x:row>
    <x:row r="63" ht="48" customHeight="1">
      <x:c r="A63" s="216" t="str">
        <x:v>S9-01</x:v>
      </x:c>
      <x:c r="B63" s="216" t="str">
        <x:v>阶段九：发布交付</x:v>
      </x:c>
      <x:c r="C63" s="216" t="str">
        <x:v>冻结第一版数据并生成文档</x:v>
      </x:c>
      <x:c r="D63" s="216" t="str">
        <x:v>共同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完成最终审核</x:v>
      </x:c>
      <x:c r="K63" s="216" t="str">
        <x:v>tang_changan_v1</x:v>
      </x:c>
      <x:c r="L63" s="216"/>
    </x:row>
    <x:row r="64">
      <x:c r="A64" t="str">
        <x:v>S9-02</x:v>
      </x:c>
      <x:c r="B64" t="str">
        <x:v>阶段九：发布交付</x:v>
      </x:c>
      <x:c r="C64" t="str">
        <x:v>发布v1并建立Git标签v1.0.0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检查权限与版权</x:v>
      </x:c>
      <x:c r="K64" t="str">
        <x:v>正式发布</x:v>
      </x:c>
      <x:c r="L64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</x:sheetData>
  <x:mergeCells>
    <x:mergeCell ref="A1:F1"/>
    <x:mergeCell ref="A2:F2"/>
  </x:mergeCells>
  <x:pageMargins left="0.7" right="0.7" top="0.75" bottom="0.75" header="0.3" footer="0.3"/>
</x:worksheet>
</file>
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b2b46f9bc43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191f2fe0537f4dcf"/>
    <x:sheet xmlns:r="http://schemas.openxmlformats.org/officeDocument/2006/relationships" name="工作清单" sheetId="2" r:id="R6ed2f8e3ba034573"/>
    <x:sheet xmlns:r="http://schemas.openxmlformats.org/officeDocument/2006/relationships" name="里程碑" sheetId="3" r:id="R24dd7a77fbd24cb1"/>
    <x:sheet xmlns:r="http://schemas.openxmlformats.org/officeDocument/2006/relationships" name="更新日志" sheetId="4" r:id="Re6b1fcf94e8b49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73ea0d5bfc4741" /><Relationship Type="http://schemas.openxmlformats.org/officeDocument/2006/relationships/theme" Target="/xl/theme/theme1.xml" Id="Reb89b0b0963442fa" /><Relationship Type="http://schemas.openxmlformats.org/officeDocument/2006/relationships/sharedStrings" Target="/xl/sharedStrings.xml" Id="R8accd47b9ba14cc8" /><Relationship Type="http://schemas.openxmlformats.org/officeDocument/2006/relationships/worksheet" Target="/xl/worksheets/sheet1.xml" Id="R191f2fe0537f4dcf" /><Relationship Type="http://schemas.openxmlformats.org/officeDocument/2006/relationships/worksheet" Target="/xl/worksheets/sheet2.xml" Id="R6ed2f8e3ba034573" /><Relationship Type="http://schemas.openxmlformats.org/officeDocument/2006/relationships/worksheet" Target="/xl/worksheets/sheet3.xml" Id="R24dd7a77fbd24cb1" /><Relationship Type="http://schemas.openxmlformats.org/officeDocument/2006/relationships/worksheet" Target="/xl/worksheets/sheet4.xml" Id="Re6b1fcf94e8b49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8d0b2f86f347b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8d0b2f86f347b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e001f849304f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只看这一页即可：它会根据“工作清单”的状态自动更新。最近更新：2026-08-07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11</x:v>
      </x:c>
    </x:row>
    <x:row r="6">
      <x:c r="A6" s="40" t="n">
        <x:f>COUNTA('工作清单'!$A$4:$A$100)</x:f>
        <x:v>42</x:v>
      </x:c>
      <x:c r="B6" s="41"/>
      <x:c r="C6" s="42"/>
      <x:c r="D6" s="68" t="n">
        <x:f>COUNTIF('工作清单'!$E$4:$E$100,"已完成")</x:f>
        <x:v>11</x:v>
      </x:c>
      <x:c r="E6" s="69"/>
      <x:c r="F6" s="70"/>
      <x:c r="G6" s="96" t="n">
        <x:f>COUNTIF('工作清单'!$E$4:$E$100,"进行中")</x:f>
        <x:v>5</x:v>
      </x:c>
      <x:c r="H6" s="97"/>
      <x:c r="I6" s="98"/>
      <x:c r="J6" s="133" t="n">
        <x:f>IFERROR(COUNTIF('工作清单'!$E$4:$E$100,"已完成")/COUNTA('工作清单'!$A$4:$A$100),0)</x:f>
        <x:v>0.2619047619047619</x:v>
      </x:c>
      <x:c r="K6" s="134"/>
      <x:c r="L6" s="135"/>
      <x:c r="N6" t="str">
        <x:v>进行中</x:v>
      </x:c>
      <x:c r="O6" t="n">
        <x:f>COUNTIF('工作清单'!$E$4:$E$100,N6)</x:f>
        <x:v>5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当前阶段：阶段四小型样例进行中
总体状态：第一批样例已建立，坊与道路的历史复原网格位置字段已补充
已完成：坊 grid_coordinate、道路 grid_position、转换规则和代码说明同步更新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确认使用哪一版唐长安城复原网格作为坐标基准。
2. 继续提取5个坊并填写(x,y)。
3. 根据同一复原图填写道路网格序位和坊间空间关系。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约定：坊(x,y)中x从西向东、y从南向北；南北向道路按自西向东编号，东西向道路按自南向北编号。不同复原图不得混用。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b8e001f849304f1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确定六张表公共字段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确定六张专题表转实体表/关系表规则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召开六张表字段联合评审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冻结六张核心表字段规范v1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建立六类数据缺失文献需求表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完成六张样例表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升级提取Skill支持六张专题表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编写六张专题表到实体/关系转换脚本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</x:sheetData>
  <x:mergeCells>
    <x:mergeCell ref="A1:F1"/>
    <x:mergeCell ref="A2:F2"/>
  </x:mergeCells>
  <x:pageMargins left="0.7" right="0.7" top="0.75" bottom="0.75" header="0.3" footer="0.3"/>
</x:worksheet>
</file>
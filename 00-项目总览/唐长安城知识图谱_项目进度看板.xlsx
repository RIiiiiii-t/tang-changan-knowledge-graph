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7b61596ae04b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737847e2d612432d"/>
    <x:sheet xmlns:r="http://schemas.openxmlformats.org/officeDocument/2006/relationships" name="工作清单" sheetId="2" r:id="Ra061f26ef894456d"/>
    <x:sheet xmlns:r="http://schemas.openxmlformats.org/officeDocument/2006/relationships" name="里程碑" sheetId="3" r:id="Ra402d42a77c1431d"/>
    <x:sheet xmlns:r="http://schemas.openxmlformats.org/officeDocument/2006/relationships" name="更新日志" sheetId="4" r:id="Rd08cdfa1e38b49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340cc1b859466d" /><Relationship Type="http://schemas.openxmlformats.org/officeDocument/2006/relationships/theme" Target="/xl/theme/theme1.xml" Id="Rd1a6db2cdbf54c2c" /><Relationship Type="http://schemas.openxmlformats.org/officeDocument/2006/relationships/sharedStrings" Target="/xl/sharedStrings.xml" Id="R35a2a8735d254468" /><Relationship Type="http://schemas.openxmlformats.org/officeDocument/2006/relationships/worksheet" Target="/xl/worksheets/sheet1.xml" Id="R737847e2d612432d" /><Relationship Type="http://schemas.openxmlformats.org/officeDocument/2006/relationships/worksheet" Target="/xl/worksheets/sheet2.xml" Id="Ra061f26ef894456d" /><Relationship Type="http://schemas.openxmlformats.org/officeDocument/2006/relationships/worksheet" Target="/xl/worksheets/sheet3.xml" Id="Ra402d42a77c1431d" /><Relationship Type="http://schemas.openxmlformats.org/officeDocument/2006/relationships/worksheet" Target="/xl/worksheets/sheet4.xml" Id="Rd08cdfa1e38b49f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b3a0c5db8904ba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b3a0c5db8904ba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fcdf6ab9ca24d8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只看这一页即可：它会根据“工作清单”的状态自动更新。最近更新：2026-08-11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19</x:v>
      </x:c>
    </x:row>
    <x:row r="6">
      <x:c r="A6" s="40" t="n">
        <x:f>COUNTA('工作清单'!$A$4:$A$100)</x:f>
        <x:v>52</x:v>
      </x:c>
      <x:c r="B6" s="41"/>
      <x:c r="C6" s="42"/>
      <x:c r="D6" s="68" t="n">
        <x:f>COUNTIF('工作清单'!$E$4:$E$100,"已完成")</x:f>
        <x:v>19</x:v>
      </x:c>
      <x:c r="E6" s="69"/>
      <x:c r="F6" s="70"/>
      <x:c r="G6" s="96" t="n">
        <x:f>COUNTIF('工作清单'!$E$4:$E$100,"进行中")</x:f>
        <x:v>6</x:v>
      </x:c>
      <x:c r="H6" s="97"/>
      <x:c r="I6" s="98"/>
      <x:c r="J6" s="133" t="n">
        <x:f>IFERROR(COUNTIF('工作清单'!$E$4:$E$100,"已完成")/COUNTA('工作清单'!$A$4:$A$100),0)</x:f>
        <x:v>0.36538461538461536</x:v>
      </x:c>
      <x:c r="K6" s="134"/>
      <x:c r="L6" s="135"/>
      <x:c r="N6" t="str">
        <x:v>进行中</x:v>
      </x:c>
      <x:c r="O6" t="n">
        <x:f>COUNTIF('工作清单'!$E$4:$E$100,N6)</x:f>
        <x:v>6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4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当前阶段：首个平台导入包补充复核已经完成
总体状态：TC-CHUNK-1102已改连TC-LAYOUT-0005；自动校验0错误、0警告
本次整理：证据片段、坊内道路宽度规则、研究结论与图谱关系的证据链已经一致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确认测试数据库及青瓷演示数据的回退方式。
2. 使用小型样例v3生成的导入包执行首次测试导入。
3. 核对数量、搜索、图谱关系、证据回溯和科普内容显示。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当前有效版本：小型样例v3、人工复核报告v3。v1和v2仅用于追踪修改历史；平台数据库仍未写入。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afcdf6ab9ca24d85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唐长安小样例验收后再清理</x:v>
      </x:c>
      <x:c r="K32" s="16" t="str">
        <x:v>唐长安城平台基线</x:v>
      </x:c>
      <x:c r="L32" s="16" t="str">
        <x:v>清理顺序调整：先导入验证，后删除青瓷演示数据</x:v>
      </x:c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在小型样例表完成三篇核心论文字段评估，再决定是否转入正式模板</x:v>
      </x:c>
      <x:c r="K48" t="str">
        <x:v>小型样例_第1批_文献片段与基础对象_v1.xlsx</x:v>
      </x:c>
      <x:c r="L48" t="str">
        <x:v>正式模板恢复为结构与非论文试录数据；论文试录统一在样例表迭代</x:v>
      </x:c>
    </x:row>
    <x:row r="49" ht="40" customHeight="1">
      <x:c r="A49" s="216" t="str">
        <x:v>S4-05</x:v>
      </x:c>
      <x:c r="B49" s="216" t="str">
        <x:v>阶段四：小型样例</x:v>
      </x:c>
      <x:c r="C49" s="216" t="str">
        <x:v>试做首条科普内容及证据回溯闭环</x:v>
      </x:c>
      <x:c r="D49" s="216" t="str">
        <x:v>共同</x:v>
      </x:c>
      <x:c r="E49" s="216" t="str">
        <x:v>等待确认</x:v>
      </x:c>
      <x:c r="F49" s="216" t="str">
        <x:v>P0</x:v>
      </x:c>
      <x:c r="G49" s="217" t="n">
        <x:v>46245</x:v>
      </x:c>
      <x:c r="H49" s="217"/>
      <x:c r="I49" s="217"/>
      <x:c r="J49" s="216" t="str">
        <x:v>审核科普文字和7条依据关联</x:v>
      </x:c>
      <x:c r="K49" s="216" t="str">
        <x:v>TC-POPULAR-0001及TC-POPLINK-0001—0007</x:v>
      </x:c>
      <x:c r="L49" s="216" t="str">
        <x:v>样例只录入小型样例表，不进入空白正式模板</x:v>
      </x:c>
    </x:row>
    <x:row r="50" ht="40" customHeight="1">
      <x:c r="A50" s="216" t="str">
        <x:v>S6-05</x:v>
      </x:c>
      <x:c r="B50" s="216" t="str">
        <x:v>阶段六：平台迁移</x:v>
      </x:c>
      <x:c r="C50" s="216" t="str">
        <x:v>盘点青瓷平台并形成唐长安迁移清单</x:v>
      </x:c>
      <x:c r="D50" s="216" t="str">
        <x:v>Codex</x:v>
      </x:c>
      <x:c r="E50" s="216" t="str">
        <x:v>已完成</x:v>
      </x:c>
      <x:c r="F50" s="216" t="str">
        <x:v>P0</x:v>
      </x:c>
      <x:c r="G50" s="217" t="n">
        <x:v>46245</x:v>
      </x:c>
      <x:c r="H50" s="217" t="n">
        <x:v>46245</x:v>
      </x:c>
      <x:c r="I50" s="217" t="n">
        <x:v>46245</x:v>
      </x:c>
      <x:c r="J50" s="216" t="str">
        <x:v>确定唐长安平台数据契约v1</x:v>
      </x:c>
      <x:c r="K50" s="216" t="str">
        <x:v>唐长安城平台迁移盘点与实施清单_v1.md</x:v>
      </x:c>
      <x:c r="L50" s="216" t="str">
        <x:v>只读检查；未修改平台代码和演示数据</x:v>
      </x:c>
    </x:row>
    <x:row r="51" ht="40" customHeight="1">
      <x:c r="A51" s="216" t="str">
        <x:v>S6-06</x:v>
      </x:c>
      <x:c r="B51" s="216" t="str">
        <x:v>阶段六：平台迁移</x:v>
      </x:c>
      <x:c r="C51" s="216" t="str">
        <x:v>制定唐长安平台数据契约v1</x:v>
      </x:c>
      <x:c r="D51" s="216" t="str">
        <x:v>Codex</x:v>
      </x:c>
      <x:c r="E51" s="216" t="str">
        <x:v>已完成</x:v>
      </x:c>
      <x:c r="F51" s="216" t="str">
        <x:v>P0</x:v>
      </x:c>
      <x:c r="G51" s="217" t="n">
        <x:v>46245</x:v>
      </x:c>
      <x:c r="H51" s="217" t="n">
        <x:v>46245</x:v>
      </x:c>
      <x:c r="I51" s="217" t="n">
        <x:v>46245</x:v>
      </x:c>
      <x:c r="J51" s="216" t="str">
        <x:v>编写小型样例Excel转换程序</x:v>
      </x:c>
      <x:c r="K51" s="216" t="str">
        <x:v>平台数据契约v1 / 导入包结构示例v1</x:v>
      </x:c>
      <x:c r="L51" s="216" t="str">
        <x:v>兼容现有四类核心表；小样例先行</x:v>
      </x:c>
    </x:row>
    <x:row r="52" ht="40" customHeight="1">
      <x:c r="A52" s="216" t="str">
        <x:v>S6-07</x:v>
      </x:c>
      <x:c r="B52" s="216" t="str">
        <x:v>阶段六：平台迁移</x:v>
      </x:c>
      <x:c r="C52" s="216" t="str">
        <x:v>编写小型样例转换程序并生成首个导入包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46245</x:v>
      </x:c>
      <x:c r="H52" s="217" t="n">
        <x:v>46245</x:v>
      </x:c>
      <x:c r="I52" s="217" t="n">
        <x:v>46245</x:v>
      </x:c>
      <x:c r="J52" s="216" t="str">
        <x:v>人工复核导入包和校验报告</x:v>
      </x:c>
      <x:c r="K52" s="216" t="str">
        <x:v>6来源 / 29片段 / 47实体 / 32关系</x:v>
      </x:c>
      <x:c r="L52" s="216" t="str">
        <x:v>0错误、0警告、0悬空关系；未写入数据库</x:v>
      </x:c>
    </x:row>
    <x:row r="53" ht="40" customHeight="1">
      <x:c r="A53" s="216" t="str">
        <x:v>S6-08</x:v>
      </x:c>
      <x:c r="B53" s="216" t="str">
        <x:v>阶段六：平台迁移</x:v>
      </x:c>
      <x:c r="C53" s="216" t="str">
        <x:v>人工复核首个平台导入包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46245</x:v>
      </x:c>
      <x:c r="H53" s="217" t="n">
        <x:v>46245</x:v>
      </x:c>
      <x:c r="I53" s="217" t="n">
        <x:v>46245</x:v>
      </x:c>
      <x:c r="J53" s="216" t="str">
        <x:v>修正MR-001—MR-007后重新生成导入包</x:v>
      </x:c>
      <x:c r="K53" s="216" t="str">
        <x:v>人工复核报告v1 / 7项问题</x:v>
      </x:c>
      <x:c r="L53" s="216" t="str">
        <x:v>人工复核退回：2项P0、5项P1；尚未导入数据库</x:v>
      </x:c>
    </x:row>
    <x:row r="54" ht="40" customHeight="1">
      <x:c r="A54" s="216" t="str">
        <x:v>S6-09</x:v>
      </x:c>
      <x:c r="B54" s="216" t="str">
        <x:v>阶段六：平台迁移</x:v>
      </x:c>
      <x:c r="C54" s="216" t="str">
        <x:v>修正人工复核问题并完成第二轮复核</x:v>
      </x:c>
      <x:c r="D54" s="216" t="str">
        <x:v>Codex</x:v>
      </x:c>
      <x:c r="E54" s="216" t="str">
        <x:v>已完成</x:v>
      </x:c>
      <x:c r="F54" s="216" t="str">
        <x:v>P0</x:v>
      </x:c>
      <x:c r="G54" s="217" t="n">
        <x:v>46245</x:v>
      </x:c>
      <x:c r="H54" s="217" t="n">
        <x:v>46245</x:v>
      </x:c>
      <x:c r="I54" s="217" t="n">
        <x:v>46245</x:v>
      </x:c>
      <x:c r="J54" s="216" t="str">
        <x:v>确认测试环境后执行首次数据库导入</x:v>
      </x:c>
      <x:c r="K54" s="216" t="str">
        <x:v>小型样例v2 / 人工复核报告v2</x:v>
      </x:c>
      <x:c r="L54" s="216" t="str">
        <x:v>MR-001—MR-007全部关闭；0错误、0警告；允许测试导入</x:v>
      </x:c>
    </x:row>
    <x:row r="55" ht="40" customHeight="1">
      <x:c r="A55" s="216" t="str">
        <x:v>S6-10</x:v>
      </x:c>
      <x:c r="B55" s="216" t="str">
        <x:v>阶段六：平台迁移</x:v>
      </x:c>
      <x:c r="C55" s="216" t="str">
        <x:v>修正TC-CHUNK-1102与坊内规则的证据连接</x:v>
      </x:c>
      <x:c r="D55" s="216" t="str">
        <x:v>Codex</x:v>
      </x:c>
      <x:c r="E55" s="216" t="str">
        <x:v>已完成</x:v>
      </x:c>
      <x:c r="F55" s="216" t="str">
        <x:v>P0</x:v>
      </x:c>
      <x:c r="G55" s="217" t="n">
        <x:v>46246</x:v>
      </x:c>
      <x:c r="H55" s="217" t="n">
        <x:v>46246</x:v>
      </x:c>
      <x:c r="I55" s="217" t="n">
        <x:v>46246</x:v>
      </x:c>
      <x:c r="J55" s="216" t="str">
        <x:v>确认测试环境后执行首次数据库导入</x:v>
      </x:c>
      <x:c r="K55" s="216" t="str">
        <x:v>小型样例v3 / 人工复核报告v3</x:v>
      </x:c>
      <x:c r="L55" s="216" t="str">
        <x:v>TC-CHUNK-1102改连TC-LAYOUT-0005；证据链复核通过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</x:sheetData>
  <x:mergeCells>
    <x:mergeCell ref="A1:F1"/>
    <x:mergeCell ref="A2:F2"/>
  </x:mergeCells>
  <x:pageMargins left="0.7" right="0.7" top="0.75" bottom="0.75" header="0.3" footer="0.3"/>
</x:worksheet>
</file>
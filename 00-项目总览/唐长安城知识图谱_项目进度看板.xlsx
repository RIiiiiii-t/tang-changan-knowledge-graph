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3255decbba43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446bd1c839944d24"/>
    <x:sheet xmlns:r="http://schemas.openxmlformats.org/officeDocument/2006/relationships" name="工作清单" sheetId="2" r:id="R36710fc17ea9411d"/>
    <x:sheet xmlns:r="http://schemas.openxmlformats.org/officeDocument/2006/relationships" name="里程碑" sheetId="3" r:id="R95b4a19c0cfd4c87"/>
    <x:sheet xmlns:r="http://schemas.openxmlformats.org/officeDocument/2006/relationships" name="更新日志" sheetId="4" r:id="Rcb052396009949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1" fontId="8" fillId="8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7" fillId="7" xfId="0" applyNumberFormat="1" applyFont="1" applyFill="1" applyBorder="0" applyAlignment="1">
      <x:alignment vertical="center" wrapText="1"/>
    </x:xf>
    <x:xf numFmtId="0" fontId="8" fillId="8" xfId="0" applyNumberFormat="1" applyFont="1" applyFill="1" applyBorder="0" applyAlignment="1">
      <x:alignment vertical="center" wrapText="1"/>
    </x:xf>
    <x:xf numFmtId="0" fontId="10" fillId="3" borderId="2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6" fillId="11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201" fontId="8" fillId="8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  <x:xf numFmtId="0" fontId="7" fillId="7" borderId="5" xfId="0" applyNumberFormat="1" applyFont="1" applyFill="1" applyBorder="1" applyAlignment="1">
      <x:alignment vertical="top" wrapText="1"/>
    </x:xf>
    <x:xf numFmtId="0" fontId="7" fillId="7" xfId="0" applyNumberFormat="1" applyFont="1" applyFill="1" applyBorder="0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xfId="0" applyNumberFormat="1" applyFont="1" applyFill="1" applyBorder="0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10" fillId="3" borderId="2" xfId="0" applyNumberFormat="1" applyFont="1" applyFill="1" applyBorder="1" applyAlignment="1">
      <x:alignment vertical="top" wrapText="1"/>
    </x:xf>
    <x:xf numFmtId="0" fontId="10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c2b49a1d234c71" /><Relationship Type="http://schemas.openxmlformats.org/officeDocument/2006/relationships/theme" Target="/xl/theme/theme1.xml" Id="Re4d29e716d0c4085" /><Relationship Type="http://schemas.openxmlformats.org/officeDocument/2006/relationships/sharedStrings" Target="/xl/sharedStrings.xml" Id="R2ddd5ae075184c95" /><Relationship Type="http://schemas.openxmlformats.org/officeDocument/2006/relationships/worksheet" Target="/xl/worksheets/sheet1.xml" Id="R446bd1c839944d24" /><Relationship Type="http://schemas.openxmlformats.org/officeDocument/2006/relationships/worksheet" Target="/xl/worksheets/sheet2.xml" Id="R36710fc17ea9411d" /><Relationship Type="http://schemas.openxmlformats.org/officeDocument/2006/relationships/worksheet" Target="/xl/worksheets/sheet3.xml" Id="R95b4a19c0cfd4c87" /><Relationship Type="http://schemas.openxmlformats.org/officeDocument/2006/relationships/worksheet" Target="/xl/worksheets/sheet4.xml" Id="Rcb0523960099494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9de10197707471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de1019770747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3d600b45bab45a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445" t="str">
        <x:v>唐长安城知识图谱 · 今日进度看板</x:v>
      </x:c>
      <x:c r="B1" s="445"/>
      <x:c r="C1" s="445"/>
      <x:c r="D1" s="445"/>
      <x:c r="E1" s="445"/>
      <x:c r="F1" s="445"/>
      <x:c r="G1" s="445"/>
      <x:c r="H1" s="445"/>
      <x:c r="I1" s="445"/>
      <x:c r="J1" s="445"/>
      <x:c r="K1" s="329"/>
      <x:c r="L1" s="329"/>
    </x:row>
    <x:row r="2">
      <x:c r="A2" s="446"/>
      <x:c r="B2" s="446"/>
      <x:c r="C2" s="446"/>
      <x:c r="D2" s="446"/>
      <x:c r="E2" s="446"/>
      <x:c r="F2" s="446"/>
      <x:c r="G2" s="446"/>
      <x:c r="H2" s="446"/>
      <x:c r="I2" s="446"/>
      <x:c r="J2" s="446"/>
    </x:row>
    <x:row r="3" ht="24" customHeight="1">
      <x:c r="A3" s="447" t="str">
        <x:v>只看这一页即可：它会根据“工作清单”的状态自动更新。最近更新：2026-08-13</x:v>
      </x:c>
      <x:c r="B3" s="447"/>
      <x:c r="C3" s="447"/>
      <x:c r="D3" s="447"/>
      <x:c r="E3" s="447"/>
      <x:c r="F3" s="447"/>
      <x:c r="G3" s="447"/>
      <x:c r="H3" s="447"/>
      <x:c r="I3" s="447"/>
      <x:c r="J3" s="447"/>
      <x:c r="K3" s="332"/>
      <x:c r="L3" s="332"/>
    </x:row>
    <x:row r="4">
      <x:c r="A4" s="446"/>
      <x:c r="B4" s="446"/>
      <x:c r="C4" s="446"/>
      <x:c r="D4" s="446"/>
      <x:c r="E4" s="446"/>
      <x:c r="F4" s="446"/>
      <x:c r="G4" s="446"/>
      <x:c r="H4" s="446"/>
      <x:c r="I4" s="446"/>
      <x:c r="J4" s="446"/>
      <x:c r="N4"/>
      <x:c r="O4"/>
    </x:row>
    <x:row r="5">
      <x:c r="A5" s="448" t="str">
        <x:v>总任务数</x:v>
      </x:c>
      <x:c r="B5" s="448"/>
      <x:c r="C5" s="448"/>
      <x:c r="D5" s="448" t="str">
        <x:v>已完成</x:v>
      </x:c>
      <x:c r="E5" s="448"/>
      <x:c r="F5" s="448"/>
      <x:c r="G5" s="448" t="str">
        <x:v>进行中</x:v>
      </x:c>
      <x:c r="H5" s="448"/>
      <x:c r="I5" s="448"/>
      <x:c r="J5" s="448" t="str">
        <x:v>完成率</x:v>
      </x:c>
      <x:c r="K5" s="334"/>
      <x:c r="L5" s="334"/>
      <x:c r="N5"/>
      <x:c r="O5"/>
    </x:row>
    <x:row r="6" ht="32" customHeight="1">
      <x:c r="A6" s="449" t="n">
        <x:f>COUNTA('工作清单'!$A$4:$A$200)</x:f>
        <x:v>65</x:v>
      </x:c>
      <x:c r="B6" s="449"/>
      <x:c r="C6" s="449"/>
      <x:c r="D6" s="449" t="n">
        <x:f>COUNTIF('工作清单'!$E$4:$E$200,"已完成")</x:f>
        <x:v>36</x:v>
      </x:c>
      <x:c r="E6" s="449"/>
      <x:c r="F6" s="449"/>
      <x:c r="G6" s="450" t="n">
        <x:f>COUNTIF('工作清单'!$E$4:$E$200,"进行中")</x:f>
        <x:v>9</x:v>
      </x:c>
      <x:c r="H6" s="450"/>
      <x:c r="I6" s="450"/>
      <x:c r="J6" s="451" t="n">
        <x:f>IFERROR(D6/A6,0)</x:f>
        <x:v>0.5538461538461539</x:v>
      </x:c>
      <x:c r="K6" s="347"/>
      <x:c r="L6" s="347"/>
      <x:c r="N6"/>
      <x:c r="O6"/>
    </x:row>
    <x:row r="7">
      <x:c r="A7" s="446"/>
      <x:c r="B7" s="446"/>
      <x:c r="C7" s="446"/>
      <x:c r="D7" s="446"/>
      <x:c r="E7" s="446"/>
      <x:c r="F7" s="446"/>
      <x:c r="G7" s="446"/>
      <x:c r="H7" s="446"/>
      <x:c r="I7" s="446"/>
      <x:c r="J7" s="446"/>
      <x:c r="K7"/>
      <x:c r="L7"/>
      <x:c r="N7"/>
      <x:c r="O7"/>
    </x:row>
    <x:row r="8">
      <x:c r="A8" s="446"/>
      <x:c r="B8" s="446"/>
      <x:c r="C8" s="446"/>
      <x:c r="D8" s="446"/>
      <x:c r="E8" s="446"/>
      <x:c r="F8" s="446"/>
      <x:c r="G8" s="446"/>
      <x:c r="H8" s="446"/>
      <x:c r="I8" s="446"/>
      <x:c r="J8" s="446"/>
      <x:c r="K8"/>
      <x:c r="L8"/>
      <x:c r="N8"/>
      <x:c r="O8"/>
    </x:row>
    <x:row r="9">
      <x:c r="A9" s="452" t="str">
        <x:v>现在做到哪里</x:v>
      </x:c>
      <x:c r="B9" s="452"/>
      <x:c r="C9" s="452"/>
      <x:c r="D9" s="452"/>
      <x:c r="E9" s="452"/>
      <x:c r="F9" s="452"/>
      <x:c r="G9" s="452"/>
      <x:c r="H9" s="452"/>
      <x:c r="I9" s="452"/>
      <x:c r="J9" s="452"/>
      <x:c r="K9" s="351"/>
      <x:c r="L9" s="351"/>
      <x:c r="N9"/>
      <x:c r="O9"/>
    </x:row>
    <x:row r="10" ht="24" customHeight="1">
      <x:c r="A10" s="453" t="str">
        <x:v>当前阶段：成员A开始《唐两京城坊考》卷三
首批完成翊善—光宅、永昌—来庭两组分坊沿革
卷三当前：4个完整史料片段、2个稳定坊、20处建筑设施、23条关系；已自主审核并通过结构校验</x:v>
      </x:c>
      <x:c r="B10" s="454"/>
      <x:c r="C10" s="454"/>
      <x:c r="D10" s="454"/>
      <x:c r="E10" s="454"/>
      <x:c r="F10" s="454"/>
      <x:c r="G10" s="454"/>
      <x:c r="H10" s="454"/>
      <x:c r="I10" s="454"/>
      <x:c r="J10" s="454"/>
      <x:c r="K10" s="371"/>
      <x:c r="L10" s="372"/>
    </x:row>
    <x:row r="11" ht="24" customHeight="1">
      <x:c r="A11" s="455"/>
      <x:c r="B11" s="456"/>
      <x:c r="C11" s="456"/>
      <x:c r="D11" s="456"/>
      <x:c r="E11" s="456"/>
      <x:c r="F11" s="456"/>
      <x:c r="G11" s="456"/>
      <x:c r="H11" s="456"/>
      <x:c r="I11" s="456"/>
      <x:c r="J11" s="456"/>
      <x:c r="K11" s="374"/>
      <x:c r="L11" s="375"/>
    </x:row>
    <x:row r="12" ht="24" customHeight="1">
      <x:c r="A12" s="457"/>
      <x:c r="B12" s="458"/>
      <x:c r="C12" s="458"/>
      <x:c r="D12" s="458"/>
      <x:c r="E12" s="458"/>
      <x:c r="F12" s="458"/>
      <x:c r="G12" s="458"/>
      <x:c r="H12" s="458"/>
      <x:c r="I12" s="458"/>
      <x:c r="J12" s="458"/>
      <x:c r="K12" s="377"/>
      <x:c r="L12" s="378"/>
    </x:row>
    <x:row r="13">
      <x:c r="A13" s="446"/>
      <x:c r="B13" s="446"/>
      <x:c r="C13" s="446"/>
      <x:c r="D13" s="446"/>
      <x:c r="E13" s="446"/>
      <x:c r="F13" s="446"/>
      <x:c r="G13" s="446"/>
      <x:c r="H13" s="446"/>
      <x:c r="I13" s="446"/>
      <x:c r="J13" s="446"/>
    </x:row>
    <x:row r="14">
      <x:c r="A14" s="452" t="str">
        <x:v>下一步只做这三件事</x:v>
      </x:c>
      <x:c r="B14" s="452"/>
      <x:c r="C14" s="452"/>
      <x:c r="D14" s="452"/>
      <x:c r="E14" s="452"/>
      <x:c r="F14" s="452"/>
      <x:c r="G14" s="452"/>
      <x:c r="H14" s="452"/>
      <x:c r="I14" s="452"/>
      <x:c r="J14" s="452"/>
      <x:c r="K14" s="351"/>
      <x:c r="L14" s="351"/>
    </x:row>
    <x:row r="15" ht="24" customHeight="1">
      <x:c r="A15" s="459" t="str">
        <x:v>1. 继续东第三街：永兴坊起，按原文顺序逐坊录入。
2. 分坊沿革继续采用稳定坊编号＋历史名称证据的做法。
3. 每批同步填写专题表、实体表、关系表并检查孤立实体与重复边。</x:v>
      </x:c>
      <x:c r="B15" s="460"/>
      <x:c r="C15" s="460"/>
      <x:c r="D15" s="460"/>
      <x:c r="E15" s="460"/>
      <x:c r="F15" s="460"/>
      <x:c r="G15" s="460"/>
      <x:c r="H15" s="460"/>
      <x:c r="I15" s="460"/>
      <x:c r="J15" s="460"/>
      <x:c r="K15" s="398"/>
      <x:c r="L15" s="399"/>
    </x:row>
    <x:row r="16" ht="24" customHeight="1">
      <x:c r="A16" s="461"/>
      <x:c r="B16" s="462"/>
      <x:c r="C16" s="462"/>
      <x:c r="D16" s="462"/>
      <x:c r="E16" s="462"/>
      <x:c r="F16" s="462"/>
      <x:c r="G16" s="462"/>
      <x:c r="H16" s="462"/>
      <x:c r="I16" s="462"/>
      <x:c r="J16" s="462"/>
      <x:c r="K16" s="401"/>
      <x:c r="L16" s="402"/>
    </x:row>
    <x:row r="17" ht="24" customHeight="1">
      <x:c r="A17" s="463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04"/>
      <x:c r="L17" s="405"/>
    </x:row>
    <x:row r="18">
      <x:c r="A18" s="446"/>
      <x:c r="B18" s="446"/>
      <x:c r="C18" s="446"/>
      <x:c r="D18" s="446"/>
      <x:c r="E18" s="446"/>
      <x:c r="F18" s="446"/>
      <x:c r="G18" s="446"/>
      <x:c r="H18" s="446"/>
      <x:c r="I18" s="446"/>
      <x:c r="J18" s="446"/>
    </x:row>
    <x:row r="19">
      <x:c r="A19" s="452" t="str">
        <x:v>重要提醒</x:v>
      </x:c>
      <x:c r="B19" s="452"/>
      <x:c r="C19" s="452"/>
      <x:c r="D19" s="452"/>
      <x:c r="E19" s="452"/>
      <x:c r="F19" s="452"/>
      <x:c r="G19" s="452"/>
      <x:c r="H19" s="452"/>
      <x:c r="I19" s="452"/>
      <x:c r="J19" s="452"/>
      <x:c r="K19" s="351"/>
      <x:c r="L19" s="351"/>
    </x:row>
    <x:row r="20" ht="24" customHeight="1">
      <x:c r="A20" s="465" t="str">
        <x:v>重要提醒：公共对象由A、B、C共同复用；个人批次不得直接发布。成员A负责编号分配、集中合并、审批与平台导入；B、C按文献完成独立批次。</x:v>
      </x:c>
      <x:c r="B20" s="466"/>
      <x:c r="C20" s="466"/>
      <x:c r="D20" s="466"/>
      <x:c r="E20" s="466"/>
      <x:c r="F20" s="466"/>
      <x:c r="G20" s="466"/>
      <x:c r="H20" s="466"/>
      <x:c r="I20" s="466"/>
      <x:c r="J20" s="46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c3d600b45bab45a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446" t="str">
        <x:v>S6-19</x:v>
      </x:c>
      <x:c r="B54" s="446" t="str">
        <x:v>阶段六：平台迁移</x:v>
      </x:c>
      <x:c r="C54" s="446" t="str">
        <x:v>完成第三批空间基础事实发布与网页验收</x:v>
      </x:c>
      <x:c r="D54" s="446" t="str">
        <x:v>用户 / Codex</x:v>
      </x:c>
      <x:c r="E54" s="446" t="str">
        <x:v>已完成</x:v>
      </x:c>
      <x:c r="F54" s="446" t="str">
        <x:v>P0</x:v>
      </x:c>
      <x:c r="G54" s="467" t="str">
        <x:v>2026-08-12</x:v>
      </x:c>
      <x:c r="H54" s="467" t="str">
        <x:v>2026-08-12</x:v>
      </x:c>
      <x:c r="I54" s="467" t="str">
        <x:v>2026-08-12</x:v>
      </x:c>
      <x:c r="J54" s="446" t="str">
        <x:v>人工审核v7新增的外郭城、永安渠六坊和平康坊空间关系</x:v>
      </x:c>
      <x:c r="K54" s="446" t="str">
        <x:v>发布版本v3 / 第三批发布与网页验收报告v1</x:v>
      </x:c>
      <x:c r="L54" s="446" t="str">
        <x:v>发布11实体、11关系、1来源、6片段；公开总量21实体/16关系/2来源/12片段；搜索索引33文档</x:v>
      </x:c>
    </x:row>
    <x:row r="55" ht="40" customHeight="1">
      <x:c r="A55" s="446" t="str">
        <x:v>S6-20</x:v>
      </x:c>
      <x:c r="B55" s="446" t="str">
        <x:v>阶段六：平台迁移</x:v>
      </x:c>
      <x:c r="C55" s="446" t="str">
        <x:v>补齐正式迁移前P0结构端点，修正平康坊方向及x=±3坊列道路边界</x:v>
      </x:c>
      <x:c r="D55" s="446" t="str">
        <x:v>用户 / Codex</x:v>
      </x:c>
      <x:c r="E55" s="446" t="str">
        <x:v>已完成</x:v>
      </x:c>
      <x:c r="F55" s="446" t="str">
        <x:v>P0</x:v>
      </x:c>
      <x:c r="G55" s="467" t="str">
        <x:v>2026-08-12</x:v>
      </x:c>
      <x:c r="H55" s="467" t="str">
        <x:v>2026-08-12</x:v>
      </x:c>
      <x:c r="I55" s="467" t="str">
        <x:v>2026-08-12</x:v>
      </x:c>
      <x:c r="J55" s="446" t="str">
        <x:v>以小型样例v9和发布v4作为Skill升级的稳定样例基线</x:v>
      </x:c>
      <x:c r="K55" s="446" t="str">
        <x:v>小型样例v9 / 平台导入包v5 / 发布版本v4 / 第四批平台发布与网页验收报告v1</x:v>
      </x:c>
      <x:c r="L55" s="446" t="str">
        <x:v>用户审核通过；公开39实体/50关系/4来源/19片段；图谱与检索验收通过</x:v>
      </x:c>
    </x:row>
    <x:row r="56" ht="40" customHeight="1">
      <x:c r="A56" s="446" t="str">
        <x:v>S6-21</x:v>
      </x:c>
      <x:c r="B56" s="446" t="str">
        <x:v>阶段六：平台迁移</x:v>
      </x:c>
      <x:c r="C56" s="446" t="str">
        <x:v>完成《唐两京城坊考》卷一全量导入、选择性发布与网页验收</x:v>
      </x:c>
      <x:c r="D56" s="446" t="str">
        <x:v>成员A / Codex</x:v>
      </x:c>
      <x:c r="E56" s="446" t="str">
        <x:v>已完成</x:v>
      </x:c>
      <x:c r="F56" s="446" t="str">
        <x:v>P0</x:v>
      </x:c>
      <x:c r="G56" s="467" t="str">
        <x:v>2026-08-14</x:v>
      </x:c>
      <x:c r="H56" s="467" t="str">
        <x:v>2026-08-14</x:v>
      </x:c>
      <x:c r="I56" s="467" t="str">
        <x:v>2026-08-14</x:v>
      </x:c>
      <x:c r="J56" s="446" t="str">
        <x:v>规则已固化到Skill v4；下一步进入卷二</x:v>
      </x:c>
      <x:c r="K56" s="446" t="str">
        <x:v>卷一平台导入包 / v6-v7发布 / 网页验收记录 / Skill v4</x:v>
      </x:c>
      <x:c r="L56" s="446" t="str">
        <x:v>正确实例626实体、963关系、7来源、82片段；18条待核实保持草稿；检索、图谱、繁体原文证据通过</x:v>
      </x:c>
    </x:row>
    <x:row r="57" ht="40" customHeight="1">
      <x:c r="A57" s="446" t="str">
        <x:v>S7-01</x:v>
      </x:c>
      <x:c r="B57" s="446" t="str">
        <x:v>阶段七：全量提取</x:v>
      </x:c>
      <x:c r="C57" s="446" t="str">
        <x:v>完成108坊功能数据</x:v>
      </x:c>
      <x:c r="D57" s="446" t="str">
        <x:v>同事</x:v>
      </x:c>
      <x:c r="E57" s="446" t="str">
        <x:v>进行中</x:v>
      </x:c>
      <x:c r="F57" s="446" t="str">
        <x:v>P1</x:v>
      </x:c>
      <x:c r="G57" s="467" t="str">
        <x:v>2026-08-13</x:v>
      </x:c>
      <x:c r="H57" s="467"/>
      <x:c r="I57" s="467"/>
      <x:c r="J57" s="446" t="str">
        <x:v>按协作包开始首篇试运行文献；复用108坊及公共对象编号</x:v>
      </x:c>
      <x:c r="K57" s="446" t="str">
        <x:v>协作登记表 / 个人批次工作簿</x:v>
      </x:c>
      <x:c r="L57" s="446" t="str">
        <x:v>108坊已登记为待补字段；先补证据和字段，不直接发布</x:v>
      </x:c>
    </x:row>
    <x:row r="58" ht="40" customHeight="1">
      <x:c r="A58" s="446" t="str">
        <x:v>S7-02</x:v>
      </x:c>
      <x:c r="B58" s="446" t="str">
        <x:v>阶段七：全量提取</x:v>
      </x:c>
      <x:c r="C58" s="446" t="str">
        <x:v>完成道路分级数据</x:v>
      </x:c>
      <x:c r="D58" s="446" t="str">
        <x:v>同事</x:v>
      </x:c>
      <x:c r="E58" s="446" t="str">
        <x:v>尚未开始</x:v>
      </x:c>
      <x:c r="F58" s="446" t="str">
        <x:v>P1</x:v>
      </x:c>
      <x:c r="G58" s="467"/>
      <x:c r="H58" s="467"/>
      <x:c r="I58" s="467"/>
      <x:c r="J58" s="446" t="str">
        <x:v>分批提取与审核</x:v>
      </x:c>
      <x:c r="K58" s="446" t="str">
        <x:v>道路全量表</x:v>
      </x:c>
      <x:c r="L58" s="446"/>
    </x:row>
    <x:row r="59" ht="44" customHeight="1">
      <x:c r="A59" s="446" t="str">
        <x:v>S7-03</x:v>
      </x:c>
      <x:c r="B59" s="446" t="str">
        <x:v>阶段七：全量提取</x:v>
      </x:c>
      <x:c r="C59" s="446" t="str">
        <x:v>完成水渠数据</x:v>
      </x:c>
      <x:c r="D59" s="446" t="str">
        <x:v>同事</x:v>
      </x:c>
      <x:c r="E59" s="446" t="str">
        <x:v>尚未开始</x:v>
      </x:c>
      <x:c r="F59" s="446" t="str">
        <x:v>P1</x:v>
      </x:c>
      <x:c r="G59" s="467"/>
      <x:c r="H59" s="467"/>
      <x:c r="I59" s="467"/>
      <x:c r="J59" s="446" t="str">
        <x:v>分批提取与审核</x:v>
      </x:c>
      <x:c r="K59" s="446" t="str">
        <x:v>水渠全量表</x:v>
      </x:c>
      <x:c r="L59" s="446"/>
    </x:row>
    <x:row r="60" ht="44" customHeight="1">
      <x:c r="A60" s="446" t="str">
        <x:v>S7-04</x:v>
      </x:c>
      <x:c r="B60" s="446" t="str">
        <x:v>阶段七：全量提取</x:v>
      </x:c>
      <x:c r="C60" s="446" t="str">
        <x:v>完成城门数据</x:v>
      </x:c>
      <x:c r="D60" s="446" t="str">
        <x:v>我</x:v>
      </x:c>
      <x:c r="E60" s="446" t="str">
        <x:v>尚未开始</x:v>
      </x:c>
      <x:c r="F60" s="446" t="str">
        <x:v>P1</x:v>
      </x:c>
      <x:c r="G60" s="467"/>
      <x:c r="H60" s="467"/>
      <x:c r="I60" s="467"/>
      <x:c r="J60" s="446" t="str">
        <x:v>严格区分城门与内门</x:v>
      </x:c>
      <x:c r="K60" s="446" t="str">
        <x:v>城门全量表</x:v>
      </x:c>
      <x:c r="L60" s="446"/>
    </x:row>
    <x:row r="61" ht="44" customHeight="1">
      <x:c r="A61" s="446" t="str">
        <x:v>S7-05</x:v>
      </x:c>
      <x:c r="B61" s="446" t="str">
        <x:v>阶段七：全量提取</x:v>
      </x:c>
      <x:c r="C61" s="446" t="str">
        <x:v>完成尺度关系数据</x:v>
      </x:c>
      <x:c r="D61" s="446" t="str">
        <x:v>我</x:v>
      </x:c>
      <x:c r="E61" s="446" t="str">
        <x:v>尚未开始</x:v>
      </x:c>
      <x:c r="F61" s="446" t="str">
        <x:v>P1</x:v>
      </x:c>
      <x:c r="G61" s="467"/>
      <x:c r="H61" s="467"/>
      <x:c r="I61" s="467"/>
      <x:c r="J61" s="446" t="str">
        <x:v>全部公式人工复核</x:v>
      </x:c>
      <x:c r="K61" s="446" t="str">
        <x:v>尺度关系全量表</x:v>
      </x:c>
      <x:c r="L61" s="446"/>
    </x:row>
    <x:row r="62" ht="48" customHeight="1">
      <x:c r="A62" s="446" t="str">
        <x:v>S7-06</x:v>
      </x:c>
      <x:c r="B62" s="446" t="str">
        <x:v>阶段七：全量提取</x:v>
      </x:c>
      <x:c r="C62" s="446" t="str">
        <x:v>完成功能分区规则</x:v>
      </x:c>
      <x:c r="D62" s="446" t="str">
        <x:v>我</x:v>
      </x:c>
      <x:c r="E62" s="446" t="str">
        <x:v>尚未开始</x:v>
      </x:c>
      <x:c r="F62" s="446" t="str">
        <x:v>P1</x:v>
      </x:c>
      <x:c r="G62" s="467"/>
      <x:c r="H62" s="467"/>
      <x:c r="I62" s="467"/>
      <x:c r="J62" s="446" t="str">
        <x:v>必须检索反例</x:v>
      </x:c>
      <x:c r="K62" s="446" t="str">
        <x:v>规则全量表</x:v>
      </x:c>
      <x:c r="L62" s="446"/>
    </x:row>
    <x:row r="63" ht="48" customHeight="1">
      <x:c r="A63" s="446" t="str">
        <x:v>S7-07</x:v>
      </x:c>
      <x:c r="B63" s="446" t="str">
        <x:v>阶段七：全量提取</x:v>
      </x:c>
      <x:c r="C63" s="446" t="str">
        <x:v>完成《唐两京城坊考》卷一自主提取、实体关系转换与全卷校验</x:v>
      </x:c>
      <x:c r="D63" s="446" t="str">
        <x:v>成员A / Codex</x:v>
      </x:c>
      <x:c r="E63" s="446" t="str">
        <x:v>已完成</x:v>
      </x:c>
      <x:c r="F63" s="446" t="str">
        <x:v>P0</x:v>
      </x:c>
      <x:c r="G63" s="467" t="str">
        <x:v>2026-08-14</x:v>
      </x:c>
      <x:c r="H63" s="467" t="str">
        <x:v>2026-08-14</x:v>
      </x:c>
      <x:c r="I63" s="467" t="str">
        <x:v>2026-08-14</x:v>
      </x:c>
      <x:c r="J63" s="446" t="str">
        <x:v>平台试导入并将稳定规则更新到Skill</x:v>
      </x:c>
      <x:c r="K63" s="446" t="str">
        <x:v>卷一工作簿 / 协作登记表 / 全卷校验记录</x:v>
      </x:c>
      <x:c r="L63" s="446" t="str">
        <x:v>574实体、886关系、50片段；重复编号、重复边、悬空端点、错误引用、未登记关系类型、公式错误均为0</x:v>
      </x:c>
    </x:row>
    <x:row r="64">
      <x:c r="A64" s="446" t="str">
        <x:v>S8-01</x:v>
      </x:c>
      <x:c r="B64" s="446" t="str">
        <x:v>阶段八：质量检查</x:v>
      </x:c>
      <x:c r="C64" s="446" t="str">
        <x:v>完成数据完整性、历史语义和数值检查</x:v>
      </x:c>
      <x:c r="D64" s="446" t="str">
        <x:v>共同</x:v>
      </x:c>
      <x:c r="E64" s="446" t="str">
        <x:v>尚未开始</x:v>
      </x:c>
      <x:c r="F64" s="446" t="str">
        <x:v>P0</x:v>
      </x:c>
      <x:c r="G64" s="446"/>
      <x:c r="H64" s="446"/>
      <x:c r="I64" s="446"/>
      <x:c r="J64" s="446" t="str">
        <x:v>全量导入前完成</x:v>
      </x:c>
      <x:c r="K64" s="446" t="str">
        <x:v>质量报告</x:v>
      </x:c>
      <x:c r="L64" s="446"/>
    </x:row>
    <x:row r="65">
      <x:c r="A65" s="446" t="str">
        <x:v>S8-02</x:v>
      </x:c>
      <x:c r="B65" s="446" t="str">
        <x:v>阶段八：质量检查</x:v>
      </x:c>
      <x:c r="C65" s="446" t="str">
        <x:v>完成系统测试与重复导入测试</x:v>
      </x:c>
      <x:c r="D65" s="446" t="str">
        <x:v>Codex</x:v>
      </x:c>
      <x:c r="E65" s="446" t="str">
        <x:v>尚未开始</x:v>
      </x:c>
      <x:c r="F65" s="446" t="str">
        <x:v>P0</x:v>
      </x:c>
      <x:c r="G65" s="446"/>
      <x:c r="H65" s="446"/>
      <x:c r="I65" s="446"/>
      <x:c r="J65" s="446" t="str">
        <x:v>发布前完成</x:v>
      </x:c>
      <x:c r="K65" s="446" t="str">
        <x:v>系统测试报告</x:v>
      </x:c>
      <x:c r="L65" s="446"/>
    </x:row>
    <x:row r="66">
      <x:c r="A66" s="446" t="str">
        <x:v>S9-01</x:v>
      </x:c>
      <x:c r="B66" s="446" t="str">
        <x:v>阶段九：发布交付</x:v>
      </x:c>
      <x:c r="C66" s="446" t="str">
        <x:v>冻结第一版数据并生成文档</x:v>
      </x:c>
      <x:c r="D66" s="446" t="str">
        <x:v>共同</x:v>
      </x:c>
      <x:c r="E66" s="446" t="str">
        <x:v>尚未开始</x:v>
      </x:c>
      <x:c r="F66" s="446" t="str">
        <x:v>P0</x:v>
      </x:c>
      <x:c r="G66" s="446"/>
      <x:c r="H66" s="446"/>
      <x:c r="I66" s="446"/>
      <x:c r="J66" s="446" t="str">
        <x:v>完成最终审核</x:v>
      </x:c>
      <x:c r="K66" s="446" t="str">
        <x:v>tang_changan_v1</x:v>
      </x:c>
      <x:c r="L66" s="446"/>
    </x:row>
    <x:row r="67">
      <x:c r="A67" s="446" t="str">
        <x:v>S7-08</x:v>
      </x:c>
      <x:c r="B67" s="446" t="str">
        <x:v>阶段七：全量提取</x:v>
      </x:c>
      <x:c r="C67" s="446" t="str">
        <x:v>启动《唐两京城坊考》卷二，完成外郭城总述单元</x:v>
      </x:c>
      <x:c r="D67" s="446" t="str">
        <x:v>成员A / Codex</x:v>
      </x:c>
      <x:c r="E67" s="446" t="str">
        <x:v>进行中</x:v>
      </x:c>
      <x:c r="F67" s="446" t="str">
        <x:v>P0</x:v>
      </x:c>
      <x:c r="G67" s="446" t="str">
        <x:v>2026-08-16</x:v>
      </x:c>
      <x:c r="H67" s="446"/>
      <x:c r="I67" s="446"/>
      <x:c r="J67" s="446" t="str">
        <x:v>继续朱雀门街东侧各坊</x:v>
      </x:c>
      <x:c r="K67" s="446" t="str">
        <x:v>BATCH-0201工作簿 / 协作登记表</x:v>
      </x:c>
      <x:c r="L67" s="446" t="str">
        <x:v>卷二累计13片段、74实体、98关系；东第一列9坊及49处设施已录；2项名称待扫描版复核</x:v>
      </x:c>
    </x:row>
    <x:row r="68">
      <x:c r="A68" t="str">
        <x:v>S7-09</x:v>
      </x:c>
      <x:c r="B68" t="str">
        <x:v>阶段七：全量提取</x:v>
      </x:c>
      <x:c r="C68" t="str">
        <x:v>启动《唐两京城坊考》卷三并完成首批分坊沿革</x:v>
      </x:c>
      <x:c r="D68" t="str">
        <x:v>成员A / Codex</x:v>
      </x:c>
      <x:c r="E68" t="str">
        <x:v>进行中</x:v>
      </x:c>
      <x:c r="F68" t="str">
        <x:v>P0</x:v>
      </x:c>
      <x:c r="G68" t="str">
        <x:v>2026-08-16</x:v>
      </x:c>
      <x:c r="H68"/>
      <x:c r="I68"/>
      <x:c r="J68" t="str">
        <x:v>继续东第三街永兴坊以后条目</x:v>
      </x:c>
      <x:c r="K68" t="str">
        <x:v>BATCH-0202工作簿 / 协作登记表</x:v>
      </x:c>
      <x:c r="L68" t="str">
        <x:v>4片段、20设施、23关系；复用TC-FANG-0023/0024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s="446" t="str">
        <x:v>2026-08-12</x:v>
      </x:c>
      <x:c r="B46" s="446" t="str">
        <x:v>用户 / Codex</x:v>
      </x:c>
      <x:c r="C46" s="446" t="str">
        <x:v>将知识提取Skill升级为v3，加入多人按文献分工、专题复核和集中合并规范，并打包完整协作资产</x:v>
      </x:c>
      <x:c r="D46" s="446" t="str">
        <x:v>knowledge-graph-extraction-v3.skill / 项目看板</x:v>
      </x:c>
      <x:c r="E46" s="446" t="str">
        <x:v>填写任务分配与编号段后，先让每位同事完成一个小批次</x:v>
      </x:c>
      <x:c r="F46" s="446" t="str">
        <x:v>包内含正式模板、v10稳定样例、协作登记模板；个人批次不得直接发布</x:v>
      </x:c>
    </x:row>
    <x:row r="47">
      <x:c r="A47" s="446" t="str">
        <x:v>2026-08-13</x:v>
      </x:c>
      <x:c r="B47" s="446" t="str">
        <x:v>用户 / Codex</x:v>
      </x:c>
      <x:c r="C47" s="446" t="str">
        <x:v>将同事表中的108坊和25条道路导入主实体登记表，并完成可直接转发的多人全量提取操作手册</x:v>
      </x:c>
      <x:c r="D47" s="446" t="str">
        <x:v>协作登记模板 / 操作手册v1 / knowledge-graph-extraction-v3.skill</x:v>
      </x:c>
      <x:c r="E47" s="446" t="str">
        <x:v>填写任务和编号段后，安排每人一个小批次试运行</x:v>
      </x:c>
      <x:c r="F47" s="446" t="str">
        <x:v>133项均为待补字段；仅锁定公共编号，不进入正式实体表或自动审核</x:v>
      </x:c>
    </x:row>
    <x:row r="48">
      <x:c r="A48" s="446" t="str">
        <x:v>2026-08-13</x:v>
      </x:c>
      <x:c r="B48" s="446" t="str">
        <x:v>用户 / Codex</x:v>
      </x:c>
      <x:c r="C48" s="446" t="str">
        <x:v>为两人全量提取设计并写入千位分区编号方案</x:v>
      </x:c>
      <x:c r="D48" s="446" t="str">
        <x:v>协作登记模板_两人编号段版 / Skill v3 / 项目看板</x:v>
      </x:c>
      <x:c r="E48" s="446" t="str">
        <x:v>在任务分配表中安排两人的首篇试运行文献</x:v>
      </x:c>
      <x:c r="F48" s="446" t="str">
        <x:v>成员A使用2000段、成员B使用3000段；公共坊/道路复用原编号；自动关系不人工分配</x:v>
      </x:c>
    </x:row>
    <x:row r="49" ht="44" customHeight="1">
      <x:c r="A49" s="467" t="str">
        <x:v>2026-08-13</x:v>
      </x:c>
      <x:c r="B49" s="446" t="str">
        <x:v>用户 / Codex</x:v>
      </x:c>
      <x:c r="C49" s="446" t="str">
        <x:v>更新多人协作 Skill、参考规范、操作手册和看板，并整理两人协作包</x:v>
      </x:c>
      <x:c r="D49" s="446" t="str">
        <x:v>07-协作包/唐长安城知识图谱_两人协作包_v2_20260813</x:v>
      </x:c>
      <x:c r="E49" s="446" t="str">
        <x:v>两人各领取一篇试运行文献，按公共编号复用并提交审核</x:v>
      </x:c>
      <x:c r="F49" s="446" t="str">
        <x:v>协作登记表现有176个公共对象；新增43项均为待补字段，功能规则仅锁定编号和名称</x:v>
      </x:c>
    </x:row>
    <x:row r="50" ht="44" customHeight="1">
      <x:c r="A50" s="467" t="str">
        <x:v>2026-08-13</x:v>
      </x:c>
      <x:c r="B50" s="446" t="str">
        <x:v>用户 / Codex</x:v>
      </x:c>
      <x:c r="C50" s="446" t="str">
        <x:v>将两人协作方案升级为三人制：成员A负责人，成员B、C协作者；新增C的4000编号段</x:v>
      </x:c>
      <x:c r="D50" s="446" t="str">
        <x:v>07-协作包/唐长安城知识图谱_三人协作包_v1_20260813</x:v>
      </x:c>
      <x:c r="E50" s="446" t="str">
        <x:v>由A为三人安排首篇试运行文献，B/C分别按文献完成批次</x:v>
      </x:c>
      <x:c r="F50" s="446" t="str">
        <x:v>公共对象仍为176个；新增C来源0400段、片段/关系4000段、新实体4000—4499</x:v>
      </x:c>
    </x:row>
    <x:row r="51">
      <x:c r="A51" s="446" t="str">
        <x:v>2026-08-14</x:v>
      </x:c>
      <x:c r="B51" s="446" t="str">
        <x:v>成员A / Codex</x:v>
      </x:c>
      <x:c r="C51" s="446" t="str">
        <x:v>完成《唐两京城坊考》卷一逐段录入、自主审核、实体关系转换与全卷校验</x:v>
      </x:c>
      <x:c r="D51" s="446" t="str">
        <x:v>卷一工作簿 / 协作登记表 / 项目规则日志</x:v>
      </x:c>
      <x:c r="E51" s="446" t="str">
        <x:v>平台试导入、网页验收并更新Skill</x:v>
      </x:c>
      <x:c r="F51" s="446" t="str">
        <x:v>覆盖宫城至三苑；574实体、886关系、50片段；保留异文候选及位置不详对象，统一关系类型代码</x:v>
      </x:c>
    </x:row>
    <x:row r="52">
      <x:c r="A52" s="446" t="str">
        <x:v>2026-08-16</x:v>
      </x:c>
      <x:c r="B52" s="446" t="str">
        <x:v>成员A / Codex</x:v>
      </x:c>
      <x:c r="C52" s="446" t="str">
        <x:v>启动卷二并完成外郭城总述的证据、专题与图谱转换</x:v>
      </x:c>
      <x:c r="D52" s="446" t="str">
        <x:v>卷二工作簿 / 协作登记表 / 项目看板</x:v>
      </x:c>
      <x:c r="E52" s="446" t="str">
        <x:v>继续按原文顺序录入各坊</x:v>
      </x:c>
      <x:c r="F52" s="446" t="str">
        <x:v>沿用当前协作登记表编号；不采用早期小型样例中的冲突城门编号</x:v>
      </x:c>
    </x:row>
    <x:row r="53">
      <x:c r="A53" s="446" t="str">
        <x:v>2026-08-16</x:v>
      </x:c>
      <x:c r="B53" s="446" t="str">
        <x:v>成员A / Codex</x:v>
      </x:c>
      <x:c r="C53" s="446" t="str">
        <x:v>完成卷二朱雀门街东第一列九坊的完整提取、自主审核与转换</x:v>
      </x:c>
      <x:c r="D53" s="446" t="str">
        <x:v>卷二工作簿 / 协作登记表 / 项目看板</x:v>
      </x:c>
      <x:c r="E53" s="446" t="str">
        <x:v>继续东第二列九坊</x:v>
      </x:c>
      <x:c r="F53" s="446" t="str">
        <x:v>复用TC-FANG-0045—0053；新增49处设施；保留两项待扫描版核名记录</x:v>
      </x:c>
    </x:row>
    <x:row r="54">
      <x:c r="A54" s="446" t="str">
        <x:v>2026-08-14</x:v>
      </x:c>
      <x:c r="B54" s="446" t="str">
        <x:v>成员A / Codex</x:v>
      </x:c>
      <x:c r="C54" s="446" t="str">
        <x:v>完成三人协作包v2全量同步：更新模板、当前协作登记表、操作手册v2、Skill v4.1、项目看板，并加入卷一完整审核工作簿</x:v>
      </x:c>
      <x:c r="D54" s="446" t="str">
        <x:v>07-协作包/唐长安城知识图谱_三人协作包_v2_20260814</x:v>
      </x:c>
      <x:c r="E54" s="446" t="str">
        <x:v>向B、C分发协作包并进入《唐两京城坊考》卷二</x:v>
      </x:c>
      <x:c r="F54" s="446" t="str">
        <x:v>已移除包内v3.1 Skill和旧v1手册；5个Excel公式错误扫描均为0，Word三页版式检查通过</x:v>
      </x:c>
    </x:row>
    <x:row r="55">
      <x:c r="A55" t="str">
        <x:v>2026-08-16</x:v>
      </x:c>
      <x:c r="B55" t="str">
        <x:v>成员A / Codex</x:v>
      </x:c>
      <x:c r="C55" t="str">
        <x:v>启动卷三并完成翊善—光宅、永昌—来庭首批提取</x:v>
      </x:c>
      <x:c r="D55" t="str">
        <x:v>卷三工作簿 / 协作登记表 / 项目看板</x:v>
      </x:c>
      <x:c r="E55" t="str">
        <x:v>继续东第三街后续各坊</x:v>
      </x:c>
      <x:c r="F55" t="str">
        <x:v>四段原文独立保留；实体层复用两个稳定坊编号；新增20处设施</x:v>
      </x:c>
    </x:row>
  </x:sheetData>
  <x:mergeCells>
    <x:mergeCell ref="A1:F1"/>
    <x:mergeCell ref="A2:F2"/>
  </x:mergeCells>
  <x:pageMargins left="0.7" right="0.7" top="0.75" bottom="0.75" header="0.3" footer="0.3"/>
</x:worksheet>
</file>
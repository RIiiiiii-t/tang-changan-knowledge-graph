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5b6a80eba249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f840700f3a2f4b55"/>
    <x:sheet xmlns:r="http://schemas.openxmlformats.org/officeDocument/2006/relationships" name="工作清单" sheetId="2" r:id="Ra98644e3f7d642a7"/>
    <x:sheet xmlns:r="http://schemas.openxmlformats.org/officeDocument/2006/relationships" name="里程碑" sheetId="3" r:id="Rc1144211b05f48c2"/>
    <x:sheet xmlns:r="http://schemas.openxmlformats.org/officeDocument/2006/relationships" name="更新日志" sheetId="4" r:id="R09f6b013d6dc48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c93c3de019498f" /><Relationship Type="http://schemas.openxmlformats.org/officeDocument/2006/relationships/theme" Target="/xl/theme/theme1.xml" Id="Rb392ad7134cf4b3e" /><Relationship Type="http://schemas.openxmlformats.org/officeDocument/2006/relationships/sharedStrings" Target="/xl/sharedStrings.xml" Id="Rad23fd8b6c454676" /><Relationship Type="http://schemas.openxmlformats.org/officeDocument/2006/relationships/worksheet" Target="/xl/worksheets/sheet1.xml" Id="Rf840700f3a2f4b55" /><Relationship Type="http://schemas.openxmlformats.org/officeDocument/2006/relationships/worksheet" Target="/xl/worksheets/sheet2.xml" Id="Ra98644e3f7d642a7" /><Relationship Type="http://schemas.openxmlformats.org/officeDocument/2006/relationships/worksheet" Target="/xl/worksheets/sheet3.xml" Id="Rc1144211b05f48c2" /><Relationship Type="http://schemas.openxmlformats.org/officeDocument/2006/relationships/worksheet" Target="/xl/worksheets/sheet4.xml" Id="R09f6b013d6dc485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8efeee8c6bb484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8efeee8c6bb484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6b2f361188b442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只看这一页即可：它会根据“工作清单”的状态自动更新。最近更新：2026-08-10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13</x:v>
      </x:c>
    </x:row>
    <x:row r="6">
      <x:c r="A6" s="40" t="n">
        <x:f>COUNTA('工作清单'!$A$4:$A$100)</x:f>
        <x:v>46</x:v>
      </x:c>
      <x:c r="B6" s="41"/>
      <x:c r="C6" s="42"/>
      <x:c r="D6" s="68" t="n">
        <x:f>COUNTIF('工作清单'!$E$4:$E$100,"已完成")</x:f>
        <x:v>13</x:v>
      </x:c>
      <x:c r="E6" s="69"/>
      <x:c r="F6" s="70"/>
      <x:c r="G6" s="96" t="n">
        <x:f>COUNTIF('工作清单'!$E$4:$E$100,"进行中")</x:f>
        <x:v>7</x:v>
      </x:c>
      <x:c r="H6" s="97"/>
      <x:c r="I6" s="98"/>
      <x:c r="J6" s="133" t="n">
        <x:f>IFERROR(COUNTIF('工作清单'!$E$4:$E$100,"已完成")/COUNTA('工作清单'!$A$4:$A$100),0)</x:f>
        <x:v>0.2826086956521739</x:v>
      </x:c>
      <x:c r="K6" s="134"/>
      <x:c r="L6" s="135"/>
      <x:c r="N6" t="str">
        <x:v>进行中</x:v>
      </x:c>
      <x:c r="O6" t="n">
        <x:f>COUNTIF('工作清单'!$E$4:$E$100,N6)</x:f>
        <x:v>7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3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当前阶段：第三篇核心论文精读与交叉验证
总体状态：李瑞、贺从容、张小娟三篇已完成首轮精读
本次产出：贺从容10条审核通过；张小娟登记6段片段、1条坊内规则、5条研究结论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人工审核张小娟的1条坊内规则和5条研究结论。
2. 重点确认‘两类坊内模型仅为常规复原’和‘门禁导致时间性可达’。
3. 审核后做三篇核心论文的字段小结，再进入防火论文。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证据提醒：张文称东西向十四街，与项目当前十二条口径冲突，暂不改道路表；坊内两类路网只能作为常规模型，不能覆盖具体坊的例外。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a6b2f361188b442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保留通用技术架构</x:v>
      </x:c>
      <x:c r="K32" s="16" t="str">
        <x:v>唐长安城平台基线</x:v>
      </x:c>
      <x:c r="L32" s="16"/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审核张小娟后，综合三篇核心论文进行字段评估</x:v>
      </x:c>
      <x:c r="K48" t="str">
        <x:v>唐长安城知识图谱录入模板_阶段二_v1.xlsx</x:v>
      </x:c>
      <x:c r="L48" t="str">
        <x:v>现有字段可承载；开放时段、管理措施、模型适用范围暂记候选字段</x:v>
      </x:c>
    </x:row>
    <x:row r="49">
      <x:c r="A49" t="str">
        <x:v>S3-06</x:v>
      </x:c>
      <x:c r="B49" t="str">
        <x:v>阶段三：文献建设</x:v>
      </x:c>
      <x:c r="C49" t="str">
        <x:v>收集专项研究论文并建立小型专题综述</x:v>
      </x:c>
      <x:c r="D49" t="str">
        <x:v>我</x:v>
      </x:c>
      <x:c r="E49" t="str">
        <x:v>进行中</x:v>
      </x:c>
      <x:c r="F49" t="str">
        <x:v>P1</x:v>
      </x:c>
      <x:c r="G49" t="str">
        <x:v>2026-08-10</x:v>
      </x:c>
      <x:c r="H49"/>
      <x:c r="I49"/>
      <x:c r="J49" t="str">
        <x:v>人工审核张小娟新增1条坊内规则和5条研究结论</x:v>
      </x:c>
      <x:c r="K49" t="str">
        <x:v>张小娟_道路交通专题精读与试录说明_v1.md</x:v>
      </x:c>
      <x:c r="L49" t="str">
        <x:v>贺从容10条已审核通过；张小娟完成6段片段、1条规则、5条结论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</x:sheetData>
  <x:mergeCells>
    <x:mergeCell ref="A1:F1"/>
    <x:mergeCell ref="A2:F2"/>
  </x:mergeCells>
  <x:pageMargins left="0.7" right="0.7" top="0.75" bottom="0.75" header="0.3" footer="0.3"/>
</x:worksheet>
</file>
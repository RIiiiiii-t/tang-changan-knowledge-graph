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a7414e09db47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34e1f087500450b"/>
    <x:sheet xmlns:r="http://schemas.openxmlformats.org/officeDocument/2006/relationships" name="工作清单" sheetId="2" r:id="R697e5460a98341b9"/>
    <x:sheet xmlns:r="http://schemas.openxmlformats.org/officeDocument/2006/relationships" name="里程碑" sheetId="3" r:id="Rc085725758e04211"/>
    <x:sheet xmlns:r="http://schemas.openxmlformats.org/officeDocument/2006/relationships" name="更新日志" sheetId="4" r:id="Rd9794bbe0c9540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3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  <x:font>
      <x:b/>
      <x:sz val="11"/>
      <x:color rgb="FF17324D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F7F3E8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2" fillId="7" borderId="2" xfId="0" applyNumberFormat="1" applyFont="1" applyFill="1" applyBorder="1" applyAlignment="1">
      <x:alignment vertical="top" wrapText="1"/>
    </x:xf>
    <x:xf numFmtId="0" fontId="12" fillId="7" borderId="3" xfId="0" applyNumberFormat="1" applyFont="1" applyFill="1" applyBorder="1" applyAlignment="1">
      <x:alignment vertical="top" wrapText="1"/>
    </x:xf>
    <x:xf numFmtId="0" fontId="12" fillId="7" borderId="5" xfId="0" applyNumberFormat="1" applyFont="1" applyFill="1" applyBorder="1" applyAlignment="1">
      <x:alignment vertical="top" wrapText="1"/>
    </x:xf>
    <x:xf numFmtId="0" fontId="12" fillId="7" xfId="0" applyNumberFormat="1" applyFont="1" applyFill="1" applyBorder="0" applyAlignment="1">
      <x:alignment vertical="top" wrapText="1"/>
    </x:xf>
    <x:xf numFmtId="0" fontId="12" fillId="7" borderId="7" xfId="0" applyNumberFormat="1" applyFont="1" applyFill="1" applyBorder="1" applyAlignment="1">
      <x:alignment vertical="top" wrapText="1"/>
    </x:xf>
    <x:xf numFmtId="0" fontId="12" fillId="7" borderId="8" xfId="0" applyNumberFormat="1" applyFont="1" applyFill="1" applyBorder="1" applyAlignment="1">
      <x:alignment vertical="top" wrapText="1"/>
    </x:xf>
    <x:xf numFmtId="0" fontId="12" fillId="21" borderId="2" xfId="0" applyNumberFormat="1" applyFont="1" applyFill="1" applyBorder="1" applyAlignment="1">
      <x:alignment vertical="top" wrapText="1"/>
    </x:xf>
    <x:xf numFmtId="0" fontId="12" fillId="21" borderId="3" xfId="0" applyNumberFormat="1" applyFont="1" applyFill="1" applyBorder="1" applyAlignment="1">
      <x:alignment vertical="top" wrapText="1"/>
    </x:xf>
    <x:xf numFmtId="0" fontId="12" fillId="21" borderId="5" xfId="0" applyNumberFormat="1" applyFont="1" applyFill="1" applyBorder="1" applyAlignment="1">
      <x:alignment vertical="top" wrapText="1"/>
    </x:xf>
    <x:xf numFmtId="0" fontId="12" fillId="21" xfId="0" applyNumberFormat="1" applyFont="1" applyFill="1" applyBorder="0" applyAlignment="1">
      <x:alignment vertical="top" wrapText="1"/>
    </x:xf>
    <x:xf numFmtId="0" fontId="12" fillId="21" borderId="7" xfId="0" applyNumberFormat="1" applyFont="1" applyFill="1" applyBorder="1" applyAlignment="1">
      <x:alignment vertical="top" wrapText="1"/>
    </x:xf>
    <x:xf numFmtId="0" fontId="12" fillId="21" borderId="8" xfId="0" applyNumberFormat="1" applyFont="1" applyFill="1" applyBorder="1" applyAlignment="1">
      <x:alignment vertical="top" wrapText="1"/>
    </x:xf>
    <x:xf numFmtId="0" fontId="12" fillId="8" borderId="2" xfId="0" applyNumberFormat="1" applyFont="1" applyFill="1" applyBorder="1" applyAlignment="1">
      <x:alignment vertical="top" wrapText="1"/>
    </x:xf>
    <x:xf numFmtId="0" fontId="12" fillId="8" borderId="3" xfId="0" applyNumberFormat="1" applyFont="1" applyFill="1" applyBorder="1" applyAlignment="1">
      <x:alignment vertical="top" wrapText="1"/>
    </x:xf>
    <x:xf numFmtId="0" fontId="12" fillId="8" borderId="5" xfId="0" applyNumberFormat="1" applyFont="1" applyFill="1" applyBorder="1" applyAlignment="1">
      <x:alignment vertical="top" wrapText="1"/>
    </x:xf>
    <x:xf numFmtId="0" fontId="12" fillId="8" xfId="0" applyNumberFormat="1" applyFont="1" applyFill="1" applyBorder="0" applyAlignment="1">
      <x:alignment vertical="top" wrapText="1"/>
    </x:xf>
    <x:xf numFmtId="0" fontId="12" fillId="8" borderId="7" xfId="0" applyNumberFormat="1" applyFont="1" applyFill="1" applyBorder="1" applyAlignment="1">
      <x:alignment vertical="top" wrapText="1"/>
    </x:xf>
    <x:xf numFmtId="0" fontId="12" fillId="8" borderId="8" xfId="0" applyNumberFormat="1" applyFont="1" applyFill="1" applyBorder="1" applyAlignment="1">
      <x:alignment vertical="top" wrapText="1"/>
    </x:xf>
    <x:xf numFmtId="0" fontId="12" fillId="3" borderId="2" xfId="0" applyNumberFormat="1" applyFont="1" applyFill="1" applyBorder="1" applyAlignment="1">
      <x:alignment vertical="top" wrapText="1"/>
    </x:xf>
    <x:xf numFmtId="0" fontId="12" fillId="3" borderId="3" xfId="0" applyNumberFormat="1" applyFont="1" applyFill="1" applyBorder="1" applyAlignment="1">
      <x:alignment vertical="top" wrapText="1"/>
    </x:xf>
    <x:xf numFmtId="0" fontId="12" fillId="3" borderId="5" xfId="0" applyNumberFormat="1" applyFont="1" applyFill="1" applyBorder="1" applyAlignment="1">
      <x:alignment vertical="top" wrapText="1"/>
    </x:xf>
    <x:xf numFmtId="0" fontId="12" fillId="3" xfId="0" applyNumberFormat="1" applyFont="1" applyFill="1" applyBorder="0" applyAlignment="1">
      <x:alignment vertical="top" wrapText="1"/>
    </x:xf>
    <x:xf numFmtId="0" fontId="12" fillId="3" borderId="7" xfId="0" applyNumberFormat="1" applyFont="1" applyFill="1" applyBorder="1" applyAlignment="1">
      <x:alignment vertical="top" wrapText="1"/>
    </x:xf>
    <x:xf numFmtId="0" fontId="12" fillId="3" borderId="8" xfId="0" applyNumberFormat="1" applyFont="1" applyFill="1" applyBorder="1" applyAlignment="1">
      <x:alignment vertical="top" wrapText="1"/>
    </x:xf>
    <x:xf numFmtId="0" fontId="12" fillId="22" borderId="2" xfId="0" applyNumberFormat="1" applyFont="1" applyFill="1" applyBorder="1" applyAlignment="1">
      <x:alignment vertical="top" wrapText="1"/>
    </x:xf>
    <x:xf numFmtId="0" fontId="12" fillId="22" borderId="3" xfId="0" applyNumberFormat="1" applyFont="1" applyFill="1" applyBorder="1" applyAlignment="1">
      <x:alignment vertical="top" wrapText="1"/>
    </x:xf>
    <x:xf numFmtId="0" fontId="12" fillId="22" borderId="5" xfId="0" applyNumberFormat="1" applyFont="1" applyFill="1" applyBorder="1" applyAlignment="1">
      <x:alignment vertical="top" wrapText="1"/>
    </x:xf>
    <x:xf numFmtId="0" fontId="12" fillId="22" xfId="0" applyNumberFormat="1" applyFont="1" applyFill="1" applyBorder="0" applyAlignment="1">
      <x:alignment vertical="top" wrapText="1"/>
    </x:xf>
    <x:xf numFmtId="0" fontId="12" fillId="22" borderId="7" xfId="0" applyNumberFormat="1" applyFont="1" applyFill="1" applyBorder="1" applyAlignment="1">
      <x:alignment vertical="top" wrapText="1"/>
    </x:xf>
    <x:xf numFmtId="0" fontId="12" fillId="22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563cb51add4c02" /><Relationship Type="http://schemas.openxmlformats.org/officeDocument/2006/relationships/theme" Target="/xl/theme/theme1.xml" Id="R349266fa0c2149f9" /><Relationship Type="http://schemas.openxmlformats.org/officeDocument/2006/relationships/sharedStrings" Target="/xl/sharedStrings.xml" Id="Rc2fe45e9bea94edc" /><Relationship Type="http://schemas.openxmlformats.org/officeDocument/2006/relationships/worksheet" Target="/xl/worksheets/sheet1.xml" Id="R034e1f087500450b" /><Relationship Type="http://schemas.openxmlformats.org/officeDocument/2006/relationships/worksheet" Target="/xl/worksheets/sheet2.xml" Id="R697e5460a98341b9" /><Relationship Type="http://schemas.openxmlformats.org/officeDocument/2006/relationships/worksheet" Target="/xl/worksheets/sheet3.xml" Id="Rc085725758e04211" /><Relationship Type="http://schemas.openxmlformats.org/officeDocument/2006/relationships/worksheet" Target="/xl/worksheets/sheet4.xml" Id="Rd9794bbe0c9540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2aaa9fcf1a427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2aaa9fcf1a427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06551128a224f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65</x:v>
      </x:c>
      <x:c r="B6" s="449"/>
      <x:c r="C6" s="449"/>
      <x:c r="D6" s="449" t="n">
        <x:f>COUNTIF('工作清单'!$E$4:$E$200,"已完成")</x:f>
        <x:v>37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0.5692307692307692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58" customHeight="1">
      <x:c r="A10" s="492" t="str">
        <x:v>当前阶段：《唐两京城坊考》卷三已完成
全卷40个完整史料片段，35个坊，408处正文直述建筑/设施，451个实体，448条关系
东市、曲江、芙蓉园已作为专题区域录入；普通事实已AI自主审核，下一步为平台联合验收</x:v>
      </x:c>
      <x:c r="B10" s="493"/>
      <x:c r="C10" s="493"/>
      <x:c r="D10" s="493"/>
      <x:c r="E10" s="493"/>
      <x:c r="F10" s="493"/>
      <x:c r="G10" s="493"/>
      <x:c r="H10" s="493"/>
      <x:c r="I10" s="493"/>
      <x:c r="J10" s="493"/>
      <x:c r="K10" s="371"/>
      <x:c r="L10" s="372"/>
    </x:row>
    <x:row r="11" ht="58" customHeight="1">
      <x:c r="A11" s="494"/>
      <x:c r="B11" s="495"/>
      <x:c r="C11" s="495"/>
      <x:c r="D11" s="495"/>
      <x:c r="E11" s="495"/>
      <x:c r="F11" s="495"/>
      <x:c r="G11" s="495"/>
      <x:c r="H11" s="495"/>
      <x:c r="I11" s="495"/>
      <x:c r="J11" s="495"/>
      <x:c r="K11" s="374"/>
      <x:c r="L11" s="375"/>
    </x:row>
    <x:row r="12" ht="58" customHeight="1">
      <x:c r="A12" s="496"/>
      <x:c r="B12" s="497"/>
      <x:c r="C12" s="497"/>
      <x:c r="D12" s="497"/>
      <x:c r="E12" s="497"/>
      <x:c r="F12" s="497"/>
      <x:c r="G12" s="497"/>
      <x:c r="H12" s="497"/>
      <x:c r="I12" s="497"/>
      <x:c r="J12" s="497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58" customHeight="1">
      <x:c r="A15" s="492" t="str">
        <x:v>1. 将卷三与卷一、卷二按稳定ID联合导入测试平台。
2. 网页抽查东第三、第四、第五街及东市、曲江、芙蓉园。
3. 对扫描页码和电子文本疑似讹字保留后续专项复核入口。</x:v>
      </x:c>
      <x:c r="B15" s="493"/>
      <x:c r="C15" s="493"/>
      <x:c r="D15" s="493"/>
      <x:c r="E15" s="493"/>
      <x:c r="F15" s="493"/>
      <x:c r="G15" s="493"/>
      <x:c r="H15" s="493"/>
      <x:c r="I15" s="493"/>
      <x:c r="J15" s="493"/>
      <x:c r="K15" s="398"/>
      <x:c r="L15" s="399"/>
    </x:row>
    <x:row r="16" ht="58" customHeight="1">
      <x:c r="A16" s="494"/>
      <x:c r="B16" s="495"/>
      <x:c r="C16" s="495"/>
      <x:c r="D16" s="495"/>
      <x:c r="E16" s="495"/>
      <x:c r="F16" s="495"/>
      <x:c r="G16" s="495"/>
      <x:c r="H16" s="495"/>
      <x:c r="I16" s="495"/>
      <x:c r="J16" s="495"/>
      <x:c r="K16" s="401"/>
      <x:c r="L16" s="402"/>
    </x:row>
    <x:row r="17" ht="58" customHeight="1">
      <x:c r="A17" s="496"/>
      <x:c r="B17" s="497"/>
      <x:c r="C17" s="497"/>
      <x:c r="D17" s="497"/>
      <x:c r="E17" s="497"/>
      <x:c r="F17" s="497"/>
      <x:c r="G17" s="497"/>
      <x:c r="H17" s="497"/>
      <x:c r="I17" s="497"/>
      <x:c r="J17" s="497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4:L14"/>
    <x:mergeCell ref="A19:L19"/>
    <x:mergeCell ref="A20:L22"/>
    <x:mergeCell ref="A10:J12"/>
    <x:mergeCell ref="A15:J17"/>
  </x:mergeCells>
  <x:pageMargins left="0.7" right="0.7" top="0.75" bottom="0.75" header="0.3" footer="0.3"/>
  <x:drawing xmlns:r="http://schemas.openxmlformats.org/officeDocument/2006/relationships" r:id="R206551128a224f8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  <x:row r="68">
      <x:c r="A68" t="str">
        <x:v>S7-09</x:v>
      </x:c>
      <x:c r="B68" t="str">
        <x:v>阶段七：全量提取</x:v>
      </x:c>
      <x:c r="C68" t="str">
        <x:v>启动《唐两京城坊考》卷三并完成首批分坊沿革</x:v>
      </x:c>
      <x:c r="D68" t="str">
        <x:v>成员A / Codex</x:v>
      </x:c>
      <x:c r="E68" t="str">
        <x:v>已完成</x:v>
      </x:c>
      <x:c r="F68" t="str">
        <x:v>P0</x:v>
      </x:c>
      <x:c r="G68" t="str">
        <x:v>2026-08-16</x:v>
      </x:c>
      <x:c r="H68"/>
      <x:c r="I68"/>
      <x:c r="J68" t="str">
        <x:v>联合导入卷一至卷三并网页验收</x:v>
      </x:c>
      <x:c r="K68" t="str">
        <x:v>BATCH-0202工作簿 / 协作登记表</x:v>
      </x:c>
      <x:c r="L68" t="str">
        <x:v>卷三40片段、35坊、408设施、451实体、448关系；结构校验通过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  <x:row r="55">
      <x:c r="A55" t="str">
        <x:v>2026-08-16</x:v>
      </x:c>
      <x:c r="B55" t="str">
        <x:v>成员A / Codex</x:v>
      </x:c>
      <x:c r="C55" t="str">
        <x:v>启动卷三并完成翊善—光宅、永昌—来庭首批提取</x:v>
      </x:c>
      <x:c r="D55" t="str">
        <x:v>卷三工作簿 / 协作登记表 / 项目看板</x:v>
      </x:c>
      <x:c r="E55" t="str">
        <x:v>继续东第三街后续各坊</x:v>
      </x:c>
      <x:c r="F55" t="str">
        <x:v>四段原文独立保留；实体层复用两个稳定坊编号；新增20处设施</x:v>
      </x:c>
    </x:row>
    <x:row r="56">
      <x:c r="A56" t="str">
        <x:v>2026-08-16</x:v>
      </x:c>
      <x:c r="B56" t="str">
        <x:v>成员A / Codex</x:v>
      </x:c>
      <x:c r="C56" t="str">
        <x:v>完成《唐两京城坊考》卷三全卷提取、自主审核与图谱转换</x:v>
      </x:c>
      <x:c r="D56" t="str">
        <x:v>卷三工作簿 / 协作登记表 / 项目看板</x:v>
      </x:c>
      <x:c r="E56" t="str">
        <x:v>卷一至卷三联合导入与网页验收</x:v>
      </x:c>
      <x:c r="F56" t="str">
        <x:v>完成道路编号纠错；东市、曲江、芙蓉园新增Area实体；建筑编号用至TC-BUILDING-2943</x:v>
      </x:c>
    </x:row>
  </x:sheetData>
  <x:mergeCells>
    <x:mergeCell ref="A1:F1"/>
    <x:mergeCell ref="A2:F2"/>
  </x:mergeCells>
  <x:pageMargins left="0.7" right="0.7" top="0.75" bottom="0.75" header="0.3" footer="0.3"/>
</x:worksheet>
</file>
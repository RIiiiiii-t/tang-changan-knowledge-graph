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334de9af54b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c130cbc9fb7842f8"/>
    <x:sheet xmlns:r="http://schemas.openxmlformats.org/officeDocument/2006/relationships" name="工作清单" sheetId="2" r:id="R14d23b466318422a"/>
    <x:sheet xmlns:r="http://schemas.openxmlformats.org/officeDocument/2006/relationships" name="里程碑" sheetId="3" r:id="R8eb6319037b6468a"/>
    <x:sheet xmlns:r="http://schemas.openxmlformats.org/officeDocument/2006/relationships" name="更新日志" sheetId="4" r:id="R0ae7c3a9d9a048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0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2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75f2be4d024777" /><Relationship Type="http://schemas.openxmlformats.org/officeDocument/2006/relationships/theme" Target="/xl/theme/theme1.xml" Id="Rf4ddf76bd90c4419" /><Relationship Type="http://schemas.openxmlformats.org/officeDocument/2006/relationships/sharedStrings" Target="/xl/sharedStrings.xml" Id="Ra64fcd30539d4188" /><Relationship Type="http://schemas.openxmlformats.org/officeDocument/2006/relationships/worksheet" Target="/xl/worksheets/sheet1.xml" Id="Rc130cbc9fb7842f8" /><Relationship Type="http://schemas.openxmlformats.org/officeDocument/2006/relationships/worksheet" Target="/xl/worksheets/sheet2.xml" Id="R14d23b466318422a" /><Relationship Type="http://schemas.openxmlformats.org/officeDocument/2006/relationships/worksheet" Target="/xl/worksheets/sheet3.xml" Id="R8eb6319037b6468a" /><Relationship Type="http://schemas.openxmlformats.org/officeDocument/2006/relationships/worksheet" Target="/xl/worksheets/sheet4.xml" Id="R0ae7c3a9d9a048c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0cfabb1a2974d3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0cfabb1a2974d3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9a42599c57f456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3" t="str">
        <x:v>唐长安城知识图谱 · 今日进度看板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3" ht="28" customHeight="1">
      <x:c r="A3" s="18" t="str">
        <x:v>只看这一页即可：它会根据“工作清单”的状态自动更新。最近更新：2026-08-09</x:v>
      </x:c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</x:row>
    <x:row r="4">
      <x:c r="N4" t="str">
        <x:v>状态</x:v>
      </x:c>
      <x:c r="O4" t="str">
        <x:v>任务数</x:v>
      </x:c>
    </x:row>
    <x:row r="5">
      <x:c r="A5" s="20" t="str">
        <x:v>总任务数</x:v>
      </x:c>
      <x:c r="B5" s="20"/>
      <x:c r="C5" s="20"/>
      <x:c r="D5" s="20" t="str">
        <x:v>已完成</x:v>
      </x:c>
      <x:c r="E5" s="20"/>
      <x:c r="F5" s="20"/>
      <x:c r="G5" s="20" t="str">
        <x:v>进行中</x:v>
      </x:c>
      <x:c r="H5" s="20"/>
      <x:c r="I5" s="20"/>
      <x:c r="J5" s="20" t="str">
        <x:v>完成率</x:v>
      </x:c>
      <x:c r="K5" s="20"/>
      <x:c r="L5" s="20"/>
      <x:c r="N5" t="str">
        <x:v>已完成</x:v>
      </x:c>
      <x:c r="O5" t="n">
        <x:f>COUNTIF('工作清单'!$E$4:$E$100,N5)</x:f>
        <x:v>13</x:v>
      </x:c>
    </x:row>
    <x:row r="6">
      <x:c r="A6" s="40" t="n">
        <x:f>COUNTA('工作清单'!$A$4:$A$100)</x:f>
        <x:v>46</x:v>
      </x:c>
      <x:c r="B6" s="41"/>
      <x:c r="C6" s="42"/>
      <x:c r="D6" s="68" t="n">
        <x:f>COUNTIF('工作清单'!$E$4:$E$100,"已完成")</x:f>
        <x:v>13</x:v>
      </x:c>
      <x:c r="E6" s="69"/>
      <x:c r="F6" s="70"/>
      <x:c r="G6" s="96" t="n">
        <x:f>COUNTIF('工作清单'!$E$4:$E$100,"进行中")</x:f>
        <x:v>6</x:v>
      </x:c>
      <x:c r="H6" s="97"/>
      <x:c r="I6" s="98"/>
      <x:c r="J6" s="133" t="n">
        <x:f>IFERROR(COUNTIF('工作清单'!$E$4:$E$100,"已完成")/COUNTA('工作清单'!$A$4:$A$100),0)</x:f>
        <x:v>0.2826086956521739</x:v>
      </x:c>
      <x:c r="K6" s="134"/>
      <x:c r="L6" s="135"/>
      <x:c r="N6" t="str">
        <x:v>进行中</x:v>
      </x:c>
      <x:c r="O6" t="n">
        <x:f>COUNTIF('工作清单'!$E$4:$E$100,N6)</x:f>
        <x:v>6</x:v>
      </x:c>
    </x:row>
    <x:row r="7">
      <x:c r="A7" s="43"/>
      <x:c r="B7" s="44"/>
      <x:c r="C7" s="45"/>
      <x:c r="D7" s="71"/>
      <x:c r="E7" s="72"/>
      <x:c r="F7" s="73"/>
      <x:c r="G7" s="99"/>
      <x:c r="H7" s="100"/>
      <x:c r="I7" s="101"/>
      <x:c r="J7" s="136"/>
      <x:c r="K7" s="137"/>
      <x:c r="L7" s="138"/>
      <x:c r="N7" t="str">
        <x:v>等待确认</x:v>
      </x:c>
      <x:c r="O7" t="n">
        <x:f>COUNTIF('工作清单'!$E$4:$E$100,N7)</x:f>
        <x:v>3</x:v>
      </x:c>
    </x:row>
    <x:row r="8">
      <x:c r="A8" s="46"/>
      <x:c r="B8" s="47"/>
      <x:c r="C8" s="48"/>
      <x:c r="D8" s="74"/>
      <x:c r="E8" s="75"/>
      <x:c r="F8" s="76"/>
      <x:c r="G8" s="102"/>
      <x:c r="H8" s="103"/>
      <x:c r="I8" s="104"/>
      <x:c r="J8" s="139"/>
      <x:c r="K8" s="140"/>
      <x:c r="L8" s="141"/>
      <x:c r="N8" t="str">
        <x:v>遇到问题</x:v>
      </x:c>
      <x:c r="O8" t="n">
        <x:f>COUNTIF('工作清单'!$E$4:$E$100,N8)</x:f>
        <x:v>0</x:v>
      </x:c>
    </x:row>
    <x:row r="9">
      <x:c r="N9" t="str">
        <x:v>尚未开始</x:v>
      </x:c>
      <x:c r="O9" t="n">
        <x:f>COUNTIF('工作清单'!$E$4:$E$100,N9)</x:f>
        <x:v>24</x:v>
      </x:c>
    </x:row>
    <x:row r="10">
      <x:c r="A10" s="142" t="str">
        <x:v>现在做到哪里</x:v>
      </x:c>
      <x:c r="B10" s="142"/>
      <x:c r="C10" s="142"/>
      <x:c r="D10" s="142"/>
      <x:c r="E10" s="142"/>
      <x:c r="F10" s="142"/>
    </x:row>
    <x:row r="11">
      <x:c r="A11" s="152" t="str">
        <x:v>当前阶段：阶段二字段扩展与阶段四小型样例并行
总体状态：城门—道路连接已审核；基础事实层与研究解释层开始分开建设
已完成：新增坊内平面规则表、研究结论表，并重排工作簿页签</x:v>
      </x:c>
      <x:c r="B11" s="153"/>
      <x:c r="C11" s="153"/>
      <x:c r="D11" s="153"/>
      <x:c r="E11" s="153"/>
      <x:c r="F11" s="154"/>
    </x:row>
    <x:row r="12">
      <x:c r="A12" s="155"/>
      <x:c r="B12" s="156"/>
      <x:c r="C12" s="156"/>
      <x:c r="D12" s="156"/>
      <x:c r="E12" s="156"/>
      <x:c r="F12" s="157"/>
    </x:row>
    <x:row r="13">
      <x:c r="A13" s="158"/>
      <x:c r="B13" s="159"/>
      <x:c r="C13" s="159"/>
      <x:c r="D13" s="159"/>
      <x:c r="E13" s="159"/>
      <x:c r="F13" s="160"/>
    </x:row>
    <x:row r="15">
      <x:c r="A15" s="142" t="str">
        <x:v>下一步只做这三件事</x:v>
      </x:c>
      <x:c r="B15" s="142"/>
      <x:c r="C15" s="142"/>
      <x:c r="D15" s="142"/>
      <x:c r="E15" s="142"/>
      <x:c r="F15" s="142"/>
    </x:row>
    <x:row r="16">
      <x:c r="A16" s="170" t="str">
        <x:v>1. 选择“道路为何宽阔”作为首个科普研究专题。
2. 收集3—5篇专项研究论文并登记来源。
3. 用真实论文试录后再确认两张新表的最终字段。</x:v>
      </x:c>
      <x:c r="B16" s="171"/>
      <x:c r="C16" s="171"/>
      <x:c r="D16" s="171"/>
      <x:c r="E16" s="171"/>
      <x:c r="F16" s="172"/>
    </x:row>
    <x:row r="17">
      <x:c r="A17" s="173"/>
      <x:c r="B17" s="174"/>
      <x:c r="C17" s="174"/>
      <x:c r="D17" s="174"/>
      <x:c r="E17" s="174"/>
      <x:c r="F17" s="175"/>
    </x:row>
    <x:row r="18">
      <x:c r="A18" s="173"/>
      <x:c r="B18" s="174"/>
      <x:c r="C18" s="174"/>
      <x:c r="D18" s="174"/>
      <x:c r="E18" s="174"/>
      <x:c r="F18" s="175"/>
    </x:row>
    <x:row r="19">
      <x:c r="A19" s="176"/>
      <x:c r="B19" s="177"/>
      <x:c r="C19" s="177"/>
      <x:c r="D19" s="177"/>
      <x:c r="E19" s="177"/>
      <x:c r="F19" s="178"/>
    </x:row>
    <x:row r="21">
      <x:c r="A21" s="19" t="str">
        <x:v>重要提醒</x:v>
      </x:c>
      <x:c r="B21" s="19"/>
      <x:c r="C21" s="19"/>
      <x:c r="D21" s="19"/>
      <x:c r="E21" s="19"/>
      <x:c r="F21" s="19"/>
    </x:row>
    <x:row r="22">
      <x:c r="A22" s="196" t="str">
        <x:v>研究结论不能直接当作史料事实：必须记录提出者、论文片段、论证依据、适用范围、限制条件和观点状态；科普转述另列。</x:v>
      </x:c>
      <x:c r="B22" s="197"/>
      <x:c r="C22" s="197"/>
      <x:c r="D22" s="197"/>
      <x:c r="E22" s="197"/>
      <x:c r="F22" s="198"/>
    </x:row>
    <x:row r="23">
      <x:c r="A23" s="199"/>
      <x:c r="B23" s="200"/>
      <x:c r="C23" s="200"/>
      <x:c r="D23" s="200"/>
      <x:c r="E23" s="200"/>
      <x:c r="F23" s="201"/>
    </x:row>
    <x:row r="24">
      <x:c r="A24" s="202"/>
      <x:c r="B24" s="203"/>
      <x:c r="C24" s="203"/>
      <x:c r="D24" s="203"/>
      <x:c r="E24" s="203"/>
      <x:c r="F24" s="204"/>
    </x:row>
  </x:sheetData>
  <x:mergeCells>
    <x:mergeCell ref="A1:L1"/>
    <x:mergeCell ref="A3:L3"/>
    <x:mergeCell ref="A5:C5"/>
    <x:mergeCell ref="A6:C8"/>
    <x:mergeCell ref="D5:F5"/>
    <x:mergeCell ref="D6:F8"/>
    <x:mergeCell ref="G5:I5"/>
    <x:mergeCell ref="G6:I8"/>
    <x:mergeCell ref="J5:L5"/>
    <x:mergeCell ref="J6:L8"/>
    <x:mergeCell ref="A10:F10"/>
    <x:mergeCell ref="A11:F13"/>
    <x:mergeCell ref="A15:F15"/>
    <x:mergeCell ref="A16:F19"/>
    <x:mergeCell ref="A21:F21"/>
    <x:mergeCell ref="A22:F24"/>
  </x:mergeCells>
  <x:pageMargins left="0.7" right="0.7" top="0.75" bottom="0.75" header="0.3" footer="0.3"/>
  <x:drawing xmlns:r="http://schemas.openxmlformats.org/officeDocument/2006/relationships" r:id="R99a42599c57f456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S3-01</x:v>
      </x:c>
      <x:c r="B20" s="16" t="str">
        <x:v>阶段三：文献建设</x:v>
      </x:c>
      <x:c r="C20" s="16" t="str">
        <x:v>盘点现有文献并分配TC-REF编号</x:v>
      </x:c>
      <x:c r="D20" s="16" t="str">
        <x:v>我</x:v>
      </x:c>
      <x:c r="E20" s="16" t="str">
        <x:v>进行中</x:v>
      </x:c>
      <x:c r="F20" s="16" t="str">
        <x:v>P1</x:v>
      </x:c>
      <x:c r="G20" s="17" t="str">
        <x:v>2026-08-07</x:v>
      </x:c>
      <x:c r="H20" s="17"/>
      <x:c r="I20" s="17"/>
      <x:c r="J20" s="16" t="str">
        <x:v>核对3份现有文献并补齐来源编号</x:v>
      </x:c>
      <x:c r="K20" s="16" t="str">
        <x:v>小型样例文献选择方案v1</x:v>
      </x:c>
      <x:c r="L20" s="16" t="str">
        <x:v>已完成初选，待正式登记来源表</x:v>
      </x:c>
    </x:row>
    <x:row r="21">
      <x:c r="A21" s="16" t="str">
        <x:v>S3-02</x:v>
      </x:c>
      <x:c r="B21" s="16" t="str">
        <x:v>阶段三：文献建设</x:v>
      </x:c>
      <x:c r="C21" s="16" t="str">
        <x:v>建立专题数据缺失文献需求表</x:v>
      </x:c>
      <x:c r="D21" s="16" t="str">
        <x:v>共同</x:v>
      </x:c>
      <x:c r="E21" s="16" t="str">
        <x:v>进行中</x:v>
      </x:c>
      <x:c r="F21" s="16" t="str">
        <x:v>P1</x:v>
      </x:c>
      <x:c r="G21" s="17" t="str">
        <x:v>2026-08-07</x:v>
      </x:c>
      <x:c r="H21" s="17"/>
      <x:c r="I21" s="17"/>
      <x:c r="J21" s="16" t="str">
        <x:v>确认考古、尺度、水系资料的取得顺序</x:v>
      </x:c>
      <x:c r="K21" s="16" t="str">
        <x:v>初步文献缺口与优先级</x:v>
      </x:c>
      <x:c r="L21" s="16" t="str">
        <x:v>优先取得《隋唐长安城遗址·考古资料编》</x:v>
      </x:c>
    </x:row>
    <x:row r="22">
      <x:c r="A22" s="16" t="str">
        <x:v>S3-03</x:v>
      </x:c>
      <x:c r="B22" s="16" t="str">
        <x:v>阶段三：文献建设</x:v>
      </x:c>
      <x:c r="C22" s="16" t="str">
        <x:v>补充城门、道路、水渠考古资料</x:v>
      </x:c>
      <x:c r="D22" s="16" t="str">
        <x:v>共同</x:v>
      </x:c>
      <x:c r="E22" s="16" t="str">
        <x:v>尚未开始</x:v>
      </x:c>
      <x:c r="F22" s="16" t="str">
        <x:v>P1</x:v>
      </x:c>
      <x:c r="G22" s="17"/>
      <x:c r="H22" s="17"/>
      <x:c r="I22" s="17"/>
      <x:c r="J22" s="16" t="str">
        <x:v>优先权威考古报告</x:v>
      </x:c>
      <x:c r="K22" s="16" t="str">
        <x:v>新增文献</x:v>
      </x:c>
      <x:c r="L22" s="16"/>
    </x:row>
    <x:row r="23">
      <x:c r="A23" s="16" t="str">
        <x:v>S3-04</x:v>
      </x:c>
      <x:c r="B23" s="16" t="str">
        <x:v>阶段三：文献建设</x:v>
      </x:c>
      <x:c r="C23" s="16" t="str">
        <x:v>补充度量衡、复原图和GIS资料</x:v>
      </x:c>
      <x:c r="D23" s="16" t="str">
        <x:v>我</x:v>
      </x:c>
      <x:c r="E23" s="16" t="str">
        <x:v>尚未开始</x:v>
      </x:c>
      <x:c r="F23" s="16" t="str">
        <x:v>P1</x:v>
      </x:c>
      <x:c r="G23" s="17"/>
      <x:c r="H23" s="17"/>
      <x:c r="I23" s="17"/>
      <x:c r="J23" s="16" t="str">
        <x:v>用于尺度和坐标</x:v>
      </x:c>
      <x:c r="K23" s="16" t="str">
        <x:v>新增文献</x:v>
      </x:c>
      <x:c r="L23" s="16"/>
    </x:row>
    <x:row r="24">
      <x:c r="A24" s="16" t="str">
        <x:v>S3-05</x:v>
      </x:c>
      <x:c r="B24" s="16" t="str">
        <x:v>阶段三：文献建设</x:v>
      </x:c>
      <x:c r="C24" s="16" t="str">
        <x:v>建立文献质量等级A-D</x:v>
      </x:c>
      <x:c r="D24" s="16" t="str">
        <x:v>共同</x:v>
      </x:c>
      <x:c r="E24" s="16" t="str">
        <x:v>尚未开始</x:v>
      </x:c>
      <x:c r="F24" s="16" t="str">
        <x:v>P2</x:v>
      </x:c>
      <x:c r="G24" s="17"/>
      <x:c r="H24" s="17"/>
      <x:c r="I24" s="17"/>
      <x:c r="J24" s="16" t="str">
        <x:v>明确可用于坐标和尺度的来源</x:v>
      </x:c>
      <x:c r="K24" s="16" t="str">
        <x:v>质量分级规则</x:v>
      </x:c>
      <x:c r="L24" s="16"/>
    </x:row>
    <x:row r="25">
      <x:c r="A25" s="16" t="str">
        <x:v>S4-01</x:v>
      </x:c>
      <x:c r="B25" s="16" t="str">
        <x:v>阶段四：小型样例</x:v>
      </x:c>
      <x:c r="C25" s="16" t="str">
        <x:v>选择5坊、3道路、2水渠、5城门</x:v>
      </x:c>
      <x:c r="D25" s="16" t="str">
        <x:v>共同</x:v>
      </x:c>
      <x:c r="E25" s="16" t="str">
        <x:v>进行中</x:v>
      </x:c>
      <x:c r="F25" s="16" t="str">
        <x:v>P1</x:v>
      </x:c>
      <x:c r="G25" s="17" t="str">
        <x:v>2026-08-07</x:v>
      </x:c>
      <x:c r="H25" s="17"/>
      <x:c r="I25" s="17"/>
      <x:c r="J25" s="16" t="str">
        <x:v>继续补齐5坊样例</x:v>
      </x:c>
      <x:c r="K25" s="16" t="str">
        <x:v>第一批基础对象已录入</x:v>
      </x:c>
      <x:c r="L25" s="16"/>
    </x:row>
    <x:row r="26">
      <x:c r="A26" s="16" t="str">
        <x:v>S4-02</x:v>
      </x:c>
      <x:c r="B26" s="16" t="str">
        <x:v>阶段四：小型样例</x:v>
      </x:c>
      <x:c r="C26" s="16" t="str">
        <x:v>制作3组尺度比较和3条功能规则</x:v>
      </x:c>
      <x:c r="D26" s="16" t="str">
        <x:v>我</x:v>
      </x:c>
      <x:c r="E26" s="16" t="str">
        <x:v>进行中</x:v>
      </x:c>
      <x:c r="F26" s="16" t="str">
        <x:v>P1</x:v>
      </x:c>
      <x:c r="G26" s="17" t="str">
        <x:v>2026-08-07</x:v>
      </x:c>
      <x:c r="H26" s="17"/>
      <x:c r="I26" s="17"/>
      <x:c r="J26" s="16" t="str">
        <x:v>补充2组尺度和2条规则</x:v>
      </x:c>
      <x:c r="K26" s="16" t="str">
        <x:v>1组尺度、1条候选规则</x:v>
      </x:c>
      <x:c r="L26" s="16"/>
    </x:row>
    <x:row r="27">
      <x:c r="A27" s="16" t="str">
        <x:v>S4-03</x:v>
      </x:c>
      <x:c r="B27" s="16" t="str">
        <x:v>阶段四：小型样例</x:v>
      </x:c>
      <x:c r="C27" s="16" t="str">
        <x:v>完成专题样例表</x:v>
      </x:c>
      <x:c r="D27" s="16" t="str">
        <x:v>共同</x:v>
      </x:c>
      <x:c r="E27" s="16" t="str">
        <x:v>进行中</x:v>
      </x:c>
      <x:c r="F27" s="16" t="str">
        <x:v>P1</x:v>
      </x:c>
      <x:c r="G27" s="17" t="str">
        <x:v>2026-08-07</x:v>
      </x:c>
      <x:c r="H27" s="17"/>
      <x:c r="I27" s="17"/>
      <x:c r="J27" s="16" t="str">
        <x:v>继续填写坊功能与坊间空间关系</x:v>
      </x:c>
      <x:c r="K27" s="16" t="str">
        <x:v>第1批小样例工作簿</x:v>
      </x:c>
      <x:c r="L27" s="16"/>
    </x:row>
    <x:row r="28">
      <x:c r="A28" s="16" t="str">
        <x:v>S4-04</x:v>
      </x:c>
      <x:c r="B28" s="16" t="str">
        <x:v>阶段四：小型样例</x:v>
      </x:c>
      <x:c r="C28" s="16" t="str">
        <x:v>审核编号、来源、单位、坐标和推导</x:v>
      </x:c>
      <x:c r="D28" s="16" t="str">
        <x:v>共同</x:v>
      </x:c>
      <x:c r="E28" s="16" t="str">
        <x:v>尚未开始</x:v>
      </x:c>
      <x:c r="F28" s="16" t="str">
        <x:v>P0</x:v>
      </x:c>
      <x:c r="G28" s="17"/>
      <x:c r="H28" s="17"/>
      <x:c r="I28" s="17"/>
      <x:c r="J28" s="16" t="str">
        <x:v>逐条审核</x:v>
      </x:c>
      <x:c r="K28" s="16" t="str">
        <x:v>样例审核记录</x:v>
      </x:c>
      <x:c r="L28" s="16"/>
    </x:row>
    <x:row r="29">
      <x:c r="A29" s="16" t="str">
        <x:v>S5-01</x:v>
      </x:c>
      <x:c r="B29" s="16" t="str">
        <x:v>阶段五：Skill升级</x:v>
      </x:c>
      <x:c r="C29" s="16" t="str">
        <x:v>升级提取Skill支持专题表</x:v>
      </x:c>
      <x:c r="D29" s="16" t="str">
        <x:v>Codex</x:v>
      </x:c>
      <x:c r="E29" s="16" t="str">
        <x:v>尚未开始</x:v>
      </x:c>
      <x:c r="F29" s="16" t="str">
        <x:v>P1</x:v>
      </x:c>
      <x:c r="G29" s="17"/>
      <x:c r="H29" s="17"/>
      <x:c r="I29" s="17"/>
      <x:c r="J29" s="16" t="str">
        <x:v>样例通过后升级</x:v>
      </x:c>
      <x:c r="K29" s="16" t="str">
        <x:v>knowledge-graph-extraction v2</x:v>
      </x:c>
      <x:c r="L29" s="16"/>
    </x:row>
    <x:row r="30">
      <x:c r="A30" s="16" t="str">
        <x:v>S5-02</x:v>
      </x:c>
      <x:c r="B30" s="16" t="str">
        <x:v>阶段五：Skill升级</x:v>
      </x:c>
      <x:c r="C30" s="16" t="str">
        <x:v>加入定量、单位、坐标和规则提取规范</x:v>
      </x:c>
      <x:c r="D30" s="16" t="str">
        <x:v>Codex</x:v>
      </x:c>
      <x:c r="E30" s="16" t="str">
        <x:v>尚未开始</x:v>
      </x:c>
      <x:c r="F30" s="16" t="str">
        <x:v>P1</x:v>
      </x:c>
      <x:c r="G30" s="17"/>
      <x:c r="H30" s="17"/>
      <x:c r="I30" s="17"/>
      <x:c r="J30" s="16" t="str">
        <x:v>与字段规范一致</x:v>
      </x:c>
      <x:c r="K30" s="16" t="str">
        <x:v>提取规范v2</x:v>
      </x:c>
      <x:c r="L30" s="16"/>
    </x:row>
    <x:row r="31">
      <x:c r="A31" s="16" t="str">
        <x:v>S5-03</x:v>
      </x:c>
      <x:c r="B31" s="16" t="str">
        <x:v>阶段五：Skill升级</x:v>
      </x:c>
      <x:c r="C31" s="16" t="str">
        <x:v>使用小型样例测试Skill</x:v>
      </x:c>
      <x:c r="D31" s="16" t="str">
        <x:v>共同</x:v>
      </x:c>
      <x:c r="E31" s="16" t="str">
        <x:v>尚未开始</x:v>
      </x:c>
      <x:c r="F31" s="16" t="str">
        <x:v>P1</x:v>
      </x:c>
      <x:c r="G31" s="17"/>
      <x:c r="H31" s="17"/>
      <x:c r="I31" s="17"/>
      <x:c r="J31" s="16" t="str">
        <x:v>比较人工审核结果</x:v>
      </x:c>
      <x:c r="K31" s="16" t="str">
        <x:v>测试报告</x:v>
      </x:c>
      <x:c r="L31" s="16"/>
    </x:row>
    <x:row r="32">
      <x:c r="A32" s="16" t="str">
        <x:v>S6-01</x:v>
      </x:c>
      <x:c r="B32" s="16" t="str">
        <x:v>阶段六：平台迁移</x:v>
      </x:c>
      <x:c r="C32" s="16" t="str">
        <x:v>清理新平台青瓷模拟数据和文案</x:v>
      </x:c>
      <x:c r="D32" s="16" t="str">
        <x:v>Codex</x:v>
      </x:c>
      <x:c r="E32" s="16" t="str">
        <x:v>尚未开始</x:v>
      </x:c>
      <x:c r="F32" s="16" t="str">
        <x:v>P1</x:v>
      </x:c>
      <x:c r="G32" s="17"/>
      <x:c r="H32" s="17"/>
      <x:c r="I32" s="17"/>
      <x:c r="J32" s="16" t="str">
        <x:v>保留通用技术架构</x:v>
      </x:c>
      <x:c r="K32" s="16" t="str">
        <x:v>唐长安城平台基线</x:v>
      </x:c>
      <x:c r="L32" s="16"/>
    </x:row>
    <x:row r="33">
      <x:c r="A33" s="16" t="str">
        <x:v>S6-02</x:v>
      </x:c>
      <x:c r="B33" s="16" t="str">
        <x:v>阶段六：平台迁移</x:v>
      </x:c>
      <x:c r="C33" s="16" t="str">
        <x:v>更新唐长安城实体与关系Schema</x:v>
      </x:c>
      <x:c r="D33" s="16" t="str">
        <x:v>Codex</x:v>
      </x:c>
      <x:c r="E33" s="16" t="str">
        <x:v>尚未开始</x:v>
      </x:c>
      <x:c r="F33" s="16" t="str">
        <x:v>P1</x:v>
      </x:c>
      <x:c r="G33" s="17"/>
      <x:c r="H33" s="17"/>
      <x:c r="I33" s="17"/>
      <x:c r="J33" s="16" t="str">
        <x:v>依据字段规范</x:v>
      </x:c>
      <x:c r="K33" s="16" t="str">
        <x:v>JSON Schema</x:v>
      </x:c>
      <x:c r="L33" s="16"/>
    </x:row>
    <x:row r="34">
      <x:c r="A34" s="16" t="str">
        <x:v>S6-03</x:v>
      </x:c>
      <x:c r="B34" s="16" t="str">
        <x:v>阶段六：平台迁移</x:v>
      </x:c>
      <x:c r="C34" s="16" t="str">
        <x:v>编写专题表到实体/关系转换脚本</x:v>
      </x:c>
      <x:c r="D34" s="16" t="str">
        <x:v>Codex</x:v>
      </x:c>
      <x:c r="E34" s="16" t="str">
        <x:v>尚未开始</x:v>
      </x:c>
      <x:c r="F34" s="16" t="str">
        <x:v>P0</x:v>
      </x:c>
      <x:c r="G34" s="17"/>
      <x:c r="H34" s="17"/>
      <x:c r="I34" s="17"/>
      <x:c r="J34" s="16" t="str">
        <x:v>先支持小型样例</x:v>
      </x:c>
      <x:c r="K34" s="16" t="str">
        <x:v>转换脚本</x:v>
      </x:c>
      <x:c r="L34" s="16"/>
    </x:row>
    <x:row r="35">
      <x:c r="A35" s="16" t="str">
        <x:v>S6-04</x:v>
      </x:c>
      <x:c r="B35" s="16" t="str">
        <x:v>阶段六：平台迁移</x:v>
      </x:c>
      <x:c r="C35" s="16" t="str">
        <x:v>导入样例并验证检索、图谱和AI问答</x:v>
      </x:c>
      <x:c r="D35" s="16" t="str">
        <x:v>共同</x:v>
      </x:c>
      <x:c r="E35" s="16" t="str">
        <x:v>尚未开始</x:v>
      </x:c>
      <x:c r="F35" s="16" t="str">
        <x:v>P0</x:v>
      </x:c>
      <x:c r="G35" s="17"/>
      <x:c r="H35" s="17"/>
      <x:c r="I35" s="17"/>
      <x:c r="J35" s="16" t="str">
        <x:v>逐项验收</x:v>
      </x:c>
      <x:c r="K35" s="16" t="str">
        <x:v>平台样例验收报告</x:v>
      </x:c>
      <x:c r="L35" s="16"/>
    </x:row>
    <x:row r="36">
      <x:c r="A36" s="16" t="str">
        <x:v>S7-01</x:v>
      </x:c>
      <x:c r="B36" s="16" t="str">
        <x:v>阶段七：全量提取</x:v>
      </x:c>
      <x:c r="C36" s="16" t="str">
        <x:v>完成108坊功能数据</x:v>
      </x:c>
      <x:c r="D36" s="16" t="str">
        <x:v>同事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小样例通过后分批提取</x:v>
      </x:c>
      <x:c r="K36" s="16" t="str">
        <x:v>坊功能全量表</x:v>
      </x:c>
      <x:c r="L36" s="16"/>
    </x:row>
    <x:row r="37">
      <x:c r="A37" s="16" t="str">
        <x:v>S7-02</x:v>
      </x:c>
      <x:c r="B37" s="16" t="str">
        <x:v>阶段七：全量提取</x:v>
      </x:c>
      <x:c r="C37" s="16" t="str">
        <x:v>完成道路分级数据</x:v>
      </x:c>
      <x:c r="D37" s="16" t="str">
        <x:v>同事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分批提取与审核</x:v>
      </x:c>
      <x:c r="K37" s="16" t="str">
        <x:v>道路全量表</x:v>
      </x:c>
      <x:c r="L37" s="16"/>
    </x:row>
    <x:row r="38">
      <x:c r="A38" s="16" t="str">
        <x:v>S7-03</x:v>
      </x:c>
      <x:c r="B38" s="16" t="str">
        <x:v>阶段七：全量提取</x:v>
      </x:c>
      <x:c r="C38" s="16" t="str">
        <x:v>完成水渠数据</x:v>
      </x:c>
      <x:c r="D38" s="16" t="str">
        <x:v>同事</x:v>
      </x:c>
      <x:c r="E38" s="16" t="str">
        <x:v>尚未开始</x:v>
      </x:c>
      <x:c r="F38" s="16" t="str">
        <x:v>P1</x:v>
      </x:c>
      <x:c r="G38" s="17"/>
      <x:c r="H38" s="17"/>
      <x:c r="I38" s="17"/>
      <x:c r="J38" s="16" t="str">
        <x:v>分批提取与审核</x:v>
      </x:c>
      <x:c r="K38" s="16" t="str">
        <x:v>水渠全量表</x:v>
      </x:c>
      <x:c r="L38" s="16"/>
    </x:row>
    <x:row r="39">
      <x:c r="A39" s="16" t="str">
        <x:v>S7-04</x:v>
      </x:c>
      <x:c r="B39" s="16" t="str">
        <x:v>阶段七：全量提取</x:v>
      </x:c>
      <x:c r="C39" s="16" t="str">
        <x:v>完成城门数据</x:v>
      </x:c>
      <x:c r="D39" s="16" t="str">
        <x:v>我</x:v>
      </x:c>
      <x:c r="E39" s="16" t="str">
        <x:v>尚未开始</x:v>
      </x:c>
      <x:c r="F39" s="16" t="str">
        <x:v>P1</x:v>
      </x:c>
      <x:c r="G39" s="17"/>
      <x:c r="H39" s="17"/>
      <x:c r="I39" s="17"/>
      <x:c r="J39" s="16" t="str">
        <x:v>严格区分城门与内门</x:v>
      </x:c>
      <x:c r="K39" s="16" t="str">
        <x:v>城门全量表</x:v>
      </x:c>
      <x:c r="L39" s="16"/>
    </x:row>
    <x:row r="40">
      <x:c r="A40" s="16" t="str">
        <x:v>S7-05</x:v>
      </x:c>
      <x:c r="B40" s="16" t="str">
        <x:v>阶段七：全量提取</x:v>
      </x:c>
      <x:c r="C40" s="16" t="str">
        <x:v>完成尺度关系数据</x:v>
      </x:c>
      <x:c r="D40" s="16" t="str">
        <x:v>我</x:v>
      </x:c>
      <x:c r="E40" s="16" t="str">
        <x:v>尚未开始</x:v>
      </x:c>
      <x:c r="F40" s="16" t="str">
        <x:v>P1</x:v>
      </x:c>
      <x:c r="G40" s="17"/>
      <x:c r="H40" s="17"/>
      <x:c r="I40" s="17"/>
      <x:c r="J40" s="16" t="str">
        <x:v>全部公式人工复核</x:v>
      </x:c>
      <x:c r="K40" s="16" t="str">
        <x:v>尺度关系全量表</x:v>
      </x:c>
      <x:c r="L40" s="16"/>
    </x:row>
    <x:row r="41">
      <x:c r="A41" s="16" t="str">
        <x:v>S7-06</x:v>
      </x:c>
      <x:c r="B41" s="16" t="str">
        <x:v>阶段七：全量提取</x:v>
      </x:c>
      <x:c r="C41" s="16" t="str">
        <x:v>完成功能分区规则</x:v>
      </x:c>
      <x:c r="D41" s="16" t="str">
        <x:v>我</x:v>
      </x:c>
      <x:c r="E41" s="16" t="str">
        <x:v>尚未开始</x:v>
      </x:c>
      <x:c r="F41" s="16" t="str">
        <x:v>P1</x:v>
      </x:c>
      <x:c r="G41" s="17"/>
      <x:c r="H41" s="17"/>
      <x:c r="I41" s="17"/>
      <x:c r="J41" s="16" t="str">
        <x:v>必须检索反例</x:v>
      </x:c>
      <x:c r="K41" s="16" t="str">
        <x:v>规则全量表</x:v>
      </x:c>
      <x:c r="L41" s="16"/>
    </x:row>
    <x:row r="42">
      <x:c r="A42" s="16" t="str">
        <x:v>S8-01</x:v>
      </x:c>
      <x:c r="B42" s="16" t="str">
        <x:v>阶段八：质量检查</x:v>
      </x:c>
      <x:c r="C42" s="16" t="str">
        <x:v>完成数据完整性、历史语义和数值检查</x:v>
      </x:c>
      <x:c r="D42" s="16" t="str">
        <x:v>共同</x:v>
      </x:c>
      <x:c r="E42" s="16" t="str">
        <x:v>尚未开始</x:v>
      </x:c>
      <x:c r="F42" s="16" t="str">
        <x:v>P0</x:v>
      </x:c>
      <x:c r="G42" s="17"/>
      <x:c r="H42" s="17"/>
      <x:c r="I42" s="17"/>
      <x:c r="J42" s="16" t="str">
        <x:v>全量导入前完成</x:v>
      </x:c>
      <x:c r="K42" s="16" t="str">
        <x:v>质量报告</x:v>
      </x:c>
      <x:c r="L42" s="16"/>
    </x:row>
    <x:row r="43">
      <x:c r="A43" s="16" t="str">
        <x:v>S8-02</x:v>
      </x:c>
      <x:c r="B43" s="16" t="str">
        <x:v>阶段八：质量检查</x:v>
      </x:c>
      <x:c r="C43" s="16" t="str">
        <x:v>完成系统测试与重复导入测试</x:v>
      </x:c>
      <x:c r="D43" s="16" t="str">
        <x:v>Codex</x:v>
      </x:c>
      <x:c r="E43" s="16" t="str">
        <x:v>尚未开始</x:v>
      </x:c>
      <x:c r="F43" s="16" t="str">
        <x:v>P0</x:v>
      </x:c>
      <x:c r="G43" s="17"/>
      <x:c r="H43" s="17"/>
      <x:c r="I43" s="17"/>
      <x:c r="J43" s="16" t="str">
        <x:v>发布前完成</x:v>
      </x:c>
      <x:c r="K43" s="16" t="str">
        <x:v>系统测试报告</x:v>
      </x:c>
      <x:c r="L43" s="16"/>
    </x:row>
    <x:row r="44">
      <x:c r="A44" s="16" t="str">
        <x:v>S9-01</x:v>
      </x:c>
      <x:c r="B44" s="16" t="str">
        <x:v>阶段九：发布交付</x:v>
      </x:c>
      <x:c r="C44" s="16" t="str">
        <x:v>冻结第一版数据并生成文档</x:v>
      </x:c>
      <x:c r="D44" s="16" t="str">
        <x:v>共同</x:v>
      </x:c>
      <x:c r="E44" s="16" t="str">
        <x:v>尚未开始</x:v>
      </x:c>
      <x:c r="F44" s="16" t="str">
        <x:v>P0</x:v>
      </x:c>
      <x:c r="G44" s="17"/>
      <x:c r="H44" s="17"/>
      <x:c r="I44" s="17"/>
      <x:c r="J44" s="16" t="str">
        <x:v>完成最终审核</x:v>
      </x:c>
      <x:c r="K44" s="16" t="str">
        <x:v>tang_changan_v1</x:v>
      </x:c>
      <x:c r="L44" s="16"/>
    </x:row>
    <x:row r="45">
      <x:c r="A45" s="16" t="str">
        <x:v>S9-02</x:v>
      </x:c>
      <x:c r="B45" s="16" t="str">
        <x:v>阶段九：发布交付</x:v>
      </x:c>
      <x:c r="C45" s="16" t="str">
        <x:v>发布v1并建立Git标签v1.0.0</x:v>
      </x:c>
      <x:c r="D45" s="16" t="str">
        <x:v>共同</x:v>
      </x:c>
      <x:c r="E45" s="16" t="str">
        <x:v>尚未开始</x:v>
      </x:c>
      <x:c r="F45" s="16" t="str">
        <x:v>P0</x:v>
      </x:c>
      <x:c r="G45" s="17"/>
      <x:c r="H45" s="17"/>
      <x:c r="I45" s="17"/>
      <x:c r="J45" s="16" t="str">
        <x:v>检查权限与版权</x:v>
      </x:c>
      <x:c r="K45" s="16" t="str">
        <x:v>正式发布</x:v>
      </x:c>
      <x:c r="L45" s="16"/>
    </x:row>
    <x:row r="46">
      <x:c r="A46" t="str">
        <x:v>S2-13</x:v>
      </x:c>
      <x:c r="B46" t="str">
        <x:v>阶段二：字段规范</x:v>
      </x:c>
      <x:c r="C46" t="str">
        <x:v>建立坊内平面规则表占位字段</x:v>
      </x:c>
      <x:c r="D46" t="str">
        <x:v>Codex</x:v>
      </x:c>
      <x:c r="E46" t="str">
        <x:v>已完成</x:v>
      </x:c>
      <x:c r="F46" t="str">
        <x:v>P1</x:v>
      </x:c>
      <x:c r="G46" t="str">
        <x:v>2026-08-09</x:v>
      </x:c>
      <x:c r="H46" t="str">
        <x:v>2026-08-09</x:v>
      </x:c>
      <x:c r="I46" t="str">
        <x:v>2026-08-09</x:v>
      </x:c>
      <x:c r="J46" t="str">
        <x:v>用论文样例确认字段</x:v>
      </x:c>
    </x:row>
    <x:row r="47">
      <x:c r="A47" t="str">
        <x:v>S2-14</x:v>
      </x:c>
      <x:c r="B47" t="str">
        <x:v>阶段二：字段规范</x:v>
      </x:c>
      <x:c r="C47" t="str">
        <x:v>建立研究结论表及转换框架</x:v>
      </x:c>
      <x:c r="D47" t="str">
        <x:v>Codex</x:v>
      </x:c>
      <x:c r="E47" t="str">
        <x:v>已完成</x:v>
      </x:c>
      <x:c r="F47" t="str">
        <x:v>P1</x:v>
      </x:c>
      <x:c r="G47" t="str">
        <x:v>2026-08-09</x:v>
      </x:c>
      <x:c r="H47" t="str">
        <x:v>2026-08-09</x:v>
      </x:c>
      <x:c r="I47" t="str">
        <x:v>2026-08-09</x:v>
      </x:c>
      <x:c r="J47" t="str">
        <x:v>试录专项研究论文</x:v>
      </x:c>
    </x:row>
    <x:row r="48">
      <x:c r="A48" t="str">
        <x:v>S2-15</x:v>
      </x:c>
      <x:c r="B48" t="str">
        <x:v>阶段二：字段规范</x:v>
      </x:c>
      <x:c r="C48" t="str">
        <x:v>根据论文样例确认两张新增表字段</x:v>
      </x:c>
      <x:c r="D48" t="str">
        <x:v>共同</x:v>
      </x:c>
      <x:c r="E48" t="str">
        <x:v>进行中</x:v>
      </x:c>
      <x:c r="F48" t="str">
        <x:v>P1</x:v>
      </x:c>
      <x:c r="G48" t="str">
        <x:v>2026-08-09</x:v>
      </x:c>
      <x:c r="H48"/>
      <x:c r="I48"/>
      <x:c r="J48" t="str">
        <x:v>先选择道路宽度专题</x:v>
      </x:c>
    </x:row>
    <x:row r="49">
      <x:c r="A49" t="str">
        <x:v>S3-06</x:v>
      </x:c>
      <x:c r="B49" t="str">
        <x:v>阶段三：文献建设</x:v>
      </x:c>
      <x:c r="C49" t="str">
        <x:v>收集专项研究论文并建立小型专题综述</x:v>
      </x:c>
      <x:c r="D49" t="str">
        <x:v>我</x:v>
      </x:c>
      <x:c r="E49" t="str">
        <x:v>尚未开始</x:v>
      </x:c>
      <x:c r="F49" t="str">
        <x:v>P1</x:v>
      </x:c>
      <x:c r="G49"/>
      <x:c r="H49"/>
      <x:c r="I49"/>
      <x:c r="J49" t="str">
        <x:v>每个专题先选3—5篇论文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</x:sheetData>
  <x:mergeCells>
    <x:mergeCell ref="A1:F1"/>
    <x:mergeCell ref="A2:F2"/>
  </x:mergeCells>
  <x:pageMargins left="0.7" right="0.7" top="0.75" bottom="0.75" header="0.3" footer="0.3"/>
</x:worksheet>
</file>
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1a51919f6143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9c51177729664900"/>
    <x:sheet xmlns:r="http://schemas.openxmlformats.org/officeDocument/2006/relationships" name="工作清单" sheetId="2" r:id="Rb2c90c6043f441e1"/>
    <x:sheet xmlns:r="http://schemas.openxmlformats.org/officeDocument/2006/relationships" name="里程碑" sheetId="3" r:id="Rf1a43e299474498f"/>
    <x:sheet xmlns:r="http://schemas.openxmlformats.org/officeDocument/2006/relationships" name="更新日志" sheetId="4" r:id="R708f4fe950264a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dba09587e04ab6" /><Relationship Type="http://schemas.openxmlformats.org/officeDocument/2006/relationships/theme" Target="/xl/theme/theme1.xml" Id="R4ff245b599a74759" /><Relationship Type="http://schemas.openxmlformats.org/officeDocument/2006/relationships/sharedStrings" Target="/xl/sharedStrings.xml" Id="Re48124f44ff346a9" /><Relationship Type="http://schemas.openxmlformats.org/officeDocument/2006/relationships/worksheet" Target="/xl/worksheets/sheet1.xml" Id="R9c51177729664900" /><Relationship Type="http://schemas.openxmlformats.org/officeDocument/2006/relationships/worksheet" Target="/xl/worksheets/sheet2.xml" Id="Rb2c90c6043f441e1" /><Relationship Type="http://schemas.openxmlformats.org/officeDocument/2006/relationships/worksheet" Target="/xl/worksheets/sheet3.xml" Id="Rf1a43e299474498f" /><Relationship Type="http://schemas.openxmlformats.org/officeDocument/2006/relationships/worksheet" Target="/xl/worksheets/sheet4.xml" Id="R708f4fe950264a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93413bdb1e4b8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93413bdb1e4b8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0d86ce58343403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11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11</x:v>
      </x:c>
      <x:c r="E6" s="69"/>
      <x:c r="F6" s="70"/>
      <x:c r="G6" s="96" t="n">
        <x:f>COUNTIF('工作清单'!$E$4:$E$100,"进行中")</x:f>
        <x:v>5</x:v>
      </x:c>
      <x:c r="H6" s="97"/>
      <x:c r="I6" s="98"/>
      <x:c r="J6" s="133" t="n">
        <x:f>IFERROR(COUNTIF('工作清单'!$E$4:$E$100,"已完成")/COUNTA('工作清单'!$A$4:$A$100),0)</x:f>
        <x:v>0.2619047619047619</x:v>
      </x:c>
      <x:c r="K6" s="134"/>
      <x:c r="L6" s="135"/>
      <x:c r="N6" t="str">
        <x:v>进行中</x:v>
      </x:c>
      <x:c r="O6" t="n">
        <x:f>COUNTIF('工作清单'!$E$4:$E$100,N6)</x:f>
        <x:v>5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当前阶段：阶段四小型样例进行中
总体状态：南城主要道路轴线已经审核，城门—道路连接开始扩充
已完成：新增安化门、启夏门2个实体及4条道路—城门连接关系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人工审核4条新增道路—城门关系。
2. 继续检索安化门、启夏门向北道路的正式名称。
3. 审核通过后，扩充其余外郭城门及相连道路。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安化门、启夏门向北道路目前使用项目暂名，只表示地图上的道路实体；正式名称未得到文献支持前不得作为史实名称引用。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30d86ce58343403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</x:sheetData>
  <x:mergeCells>
    <x:mergeCell ref="A1:F1"/>
    <x:mergeCell ref="A2:F2"/>
  </x:mergeCells>
  <x:pageMargins left="0.7" right="0.7" top="0.75" bottom="0.75" header="0.3" footer="0.3"/>
</x:worksheet>
</file>
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cac52ae56042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ab692c7eb13d4a3a"/>
    <x:sheet xmlns:r="http://schemas.openxmlformats.org/officeDocument/2006/relationships" name="工作清单" sheetId="2" r:id="R7287cd73fd854f71"/>
    <x:sheet xmlns:r="http://schemas.openxmlformats.org/officeDocument/2006/relationships" name="里程碑" sheetId="3" r:id="R9d9af4342b0a4e28"/>
    <x:sheet xmlns:r="http://schemas.openxmlformats.org/officeDocument/2006/relationships" name="更新日志" sheetId="4" r:id="Re9347249b4f84e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9a1e6a24a94baf" /><Relationship Type="http://schemas.openxmlformats.org/officeDocument/2006/relationships/theme" Target="/xl/theme/theme1.xml" Id="Rce36edc61d42496b" /><Relationship Type="http://schemas.openxmlformats.org/officeDocument/2006/relationships/sharedStrings" Target="/xl/sharedStrings.xml" Id="Rdd4b5ab2951c4ca2" /><Relationship Type="http://schemas.openxmlformats.org/officeDocument/2006/relationships/worksheet" Target="/xl/worksheets/sheet1.xml" Id="Rab692c7eb13d4a3a" /><Relationship Type="http://schemas.openxmlformats.org/officeDocument/2006/relationships/worksheet" Target="/xl/worksheets/sheet2.xml" Id="R7287cd73fd854f71" /><Relationship Type="http://schemas.openxmlformats.org/officeDocument/2006/relationships/worksheet" Target="/xl/worksheets/sheet3.xml" Id="R9d9af4342b0a4e28" /><Relationship Type="http://schemas.openxmlformats.org/officeDocument/2006/relationships/worksheet" Target="/xl/worksheets/sheet4.xml" Id="Re9347249b4f84e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d1c80d132a4a7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d1c80d132a4a7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c6bc370b11343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11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11</x:v>
      </x:c>
      <x:c r="E6" s="69"/>
      <x:c r="F6" s="70"/>
      <x:c r="G6" s="96" t="n">
        <x:f>COUNTIF('工作清单'!$E$4:$E$100,"进行中")</x:f>
        <x:v>0</x:v>
      </x:c>
      <x:c r="H6" s="97"/>
      <x:c r="I6" s="98"/>
      <x:c r="J6" s="133" t="n">
        <x:f>IFERROR(COUNTIF('工作清单'!$E$4:$E$100,"已完成")/COUNTA('工作清单'!$A$4:$A$100),0)</x:f>
        <x:v>0.2619047619047619</x:v>
      </x:c>
      <x:c r="K6" s="134"/>
      <x:c r="L6" s="135"/>
      <x:c r="N6" t="str">
        <x:v>进行中</x:v>
      </x:c>
      <x:c r="O6" t="n">
        <x:f>COUNTIF('工作清单'!$E$4:$E$100,N6)</x:f>
        <x:v>0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28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当前阶段：阶段二——六张核心表字段已暂定，转换规则v1已建立
总体状态：等待同事确认前三张表并组织联合评审
已完成：两个Git仓库、阶段二模板、后三张字段、坊间空间关系表、转换规则表v1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同事审核坊功能表、道路分级表、水渠表字段。
2. 全员召开六张核心表字段联合评审。
3. 评审通过后冻结字段规范v1，并用少量文献试填。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六张核心主题表保持不变；“坊间空间关系”和“转换规则”是辅助表。坊间空间关系最终自动进入统一关系表，反向关系查询时推导，不重复录入。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8c6bc370b11343b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尚未开始</x:v>
      </x:c>
      <x:c r="F20" s="16" t="str">
        <x:v>P1</x:v>
      </x:c>
      <x:c r="G20" s="17"/>
      <x:c r="H20" s="17"/>
      <x:c r="I20" s="17"/>
      <x:c r="J20" s="16" t="str">
        <x:v>完成字段规范后开始</x:v>
      </x:c>
      <x:c r="K20" s="16" t="str">
        <x:v>文献登记表</x:v>
      </x:c>
      <x:c r="L20" s="16"/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尚未开始</x:v>
      </x:c>
      <x:c r="F21" s="16" t="str">
        <x:v>P1</x:v>
      </x:c>
      <x:c r="G21" s="17"/>
      <x:c r="H21" s="17"/>
      <x:c r="I21" s="17"/>
      <x:c r="J21" s="16" t="str">
        <x:v>按六张表分别列缺口</x:v>
      </x:c>
      <x:c r="K21" s="16" t="str">
        <x:v>文献需求清单</x:v>
      </x:c>
      <x:c r="L21" s="16"/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字段冻结后选择</x:v>
      </x:c>
      <x:c r="K25" s="16" t="str">
        <x:v>试验对象清单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使用可追溯证据</x:v>
      </x:c>
      <x:c r="K26" s="16" t="str">
        <x:v>样例记录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尚未开始</x:v>
      </x:c>
      <x:c r="F27" s="16" t="str">
        <x:v>P1</x:v>
      </x:c>
      <x:c r="G27" s="17"/>
      <x:c r="H27" s="17"/>
      <x:c r="I27" s="17"/>
      <x:c r="J27" s="16" t="str">
        <x:v>分工录入</x:v>
      </x:c>
      <x:c r="K27" s="16" t="str">
        <x:v>小型样例数据集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</x:sheetData>
  <x:mergeCells>
    <x:mergeCell ref="A1:F1"/>
    <x:mergeCell ref="A2:F2"/>
  </x:mergeCells>
  <x:pageMargins left="0.7" right="0.7" top="0.75" bottom="0.75" header="0.3" footer="0.3"/>
</x:worksheet>
</file>
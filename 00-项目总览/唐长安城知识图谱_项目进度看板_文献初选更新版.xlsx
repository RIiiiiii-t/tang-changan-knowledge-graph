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ef294f7ee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今日看板" sheetId="1" r:id="R0003713ca6f14c40"/>
    <x:sheet xmlns:r="http://schemas.openxmlformats.org/officeDocument/2006/relationships" name="工作清单" sheetId="2" r:id="Ra63a0b524d03470d"/>
    <x:sheet xmlns:r="http://schemas.openxmlformats.org/officeDocument/2006/relationships" name="里程碑" sheetId="3" r:id="Ra53819266060424a"/>
    <x:sheet xmlns:r="http://schemas.openxmlformats.org/officeDocument/2006/relationships" name="更新日志" sheetId="4" r:id="R0d22d3d3ee5145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0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1"/>
      <x:color rgb="FF173F5F"/>
      <x:name val="Carlito"/>
    </x:font>
    <x:font>
      <x:b/>
      <x:sz val="11"/>
      <x:color rgb="FF4B5563"/>
      <x:name val="Carlito"/>
    </x:font>
    <x:font>
      <x:b/>
      <x:sz val="11"/>
      <x:color rgb="FF166534"/>
      <x:name val="Carlito"/>
    </x:font>
    <x:font>
      <x:b/>
      <x:sz val="11"/>
      <x:color rgb="FF075985"/>
      <x:name val="Carlito"/>
    </x:font>
    <x:font>
      <x:b/>
      <x:sz val="11"/>
      <x:color rgb="FF854D0E"/>
      <x:name val="Carlito"/>
    </x:font>
    <x:font>
      <x:sz val="10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1F4"/>
      </x:patternFill>
    </x:fill>
    <x:fill>
      <x:patternFill patternType="solid">
        <x:fgColor rgb="FFDDF3E4"/>
      </x:patternFill>
    </x:fill>
    <x:fill>
      <x:patternFill patternType="solid">
        <x:fgColor rgb="FFD9EEF5"/>
      </x:patternFill>
    </x:fill>
    <x:fill>
      <x:patternFill patternType="solid">
        <x:fgColor rgb="FFFFF4CC"/>
      </x:patternFill>
    </x:fill>
  </x:fills>
  <x:borders count="13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</x:borders>
  <x:cellStyleXfs count="1">
    <x:xf numFmtId="0" fontId="0" fillId="0" borderId="0"/>
  </x:cellStyleXfs>
  <x:cellXfs count="2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4" xfId="0" applyNumberFormat="1" applyFont="1" applyFill="1" applyBorder="1" applyAlignment="1">
      <x:alignment horizontal="center"/>
    </x:xf>
    <x:xf numFmtId="0" fontId="5" fillId="5" borderId="5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/>
    </x:xf>
    <x:xf numFmtId="0" fontId="5" fillId="5" borderId="6" xfId="0" applyNumberFormat="1" applyFont="1" applyFill="1" applyBorder="1" applyAlignment="1">
      <x:alignment horizontal="center"/>
    </x:xf>
    <x:xf numFmtId="0" fontId="5" fillId="5" borderId="7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2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horizontal="center" vertic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horizontal="center" vertical="center"/>
    </x:xf>
    <x:xf numFmtId="0" fontId="6" fillId="6" borderId="7" xfId="0" applyNumberFormat="1" applyFont="1" applyFill="1" applyBorder="1" applyAlignment="1">
      <x:alignment horizontal="center" vertic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2" xfId="0" applyNumberFormat="1" applyFont="1" applyFill="1" applyBorder="1" applyAlignment="1">
      <x:alignment horizontal="center"/>
    </x:xf>
    <x:xf numFmtId="0" fontId="7" fillId="7" borderId="3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/>
    </x:xf>
    <x:xf numFmtId="0" fontId="7" fillId="7" borderId="6" xfId="0" applyNumberFormat="1" applyFont="1" applyFill="1" applyBorder="1" applyAlignment="1">
      <x:alignment horizontal="center"/>
    </x:xf>
    <x:xf numFmtId="0" fontId="7" fillId="7" borderId="7" xfId="0" applyNumberFormat="1" applyFont="1" applyFill="1" applyBorder="1" applyAlignment="1">
      <x:alignment horizontal="center"/>
    </x:xf>
    <x:xf numFmtId="0" fontId="7" fillId="7" borderId="8" xfId="0" applyNumberFormat="1" applyFont="1" applyFill="1" applyBorder="1" applyAlignment="1">
      <x:alignment horizontal="center"/>
    </x:xf>
    <x:xf numFmtId="0" fontId="7" fillId="7" borderId="9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horizontal="center" vertical="center"/>
    </x:xf>
    <x:xf numFmtId="0" fontId="7" fillId="7" borderId="3" xfId="0" applyNumberFormat="1" applyFont="1" applyFill="1" applyBorder="1" applyAlignment="1">
      <x:alignment horizontal="center" vertic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0" fontId="7" fillId="7" borderId="7" xfId="0" applyNumberFormat="1" applyFont="1" applyFill="1" applyBorder="1" applyAlignment="1">
      <x:alignment horizontal="center" vertical="center"/>
    </x:xf>
    <x:xf numFmtId="0" fontId="7" fillId="7" borderId="8" xfId="0" applyNumberFormat="1" applyFont="1" applyFill="1" applyBorder="1" applyAlignment="1">
      <x:alignment horizontal="center" vertical="center"/>
    </x:xf>
    <x:xf numFmtId="0" fontId="7" fillId="7" borderId="9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4" xfId="0" applyNumberFormat="1" applyFont="1" applyFill="1" applyBorder="1"/>
    <x:xf numFmtId="0" fontId="8" fillId="8" borderId="5" xfId="0" applyNumberFormat="1" applyFont="1" applyFill="1" applyBorder="1"/>
    <x:xf numFmtId="0" fontId="8" fillId="8" borderId="6" xfId="0" applyNumberFormat="1" applyFont="1" applyFill="1" applyBorder="1"/>
    <x:xf numFmtId="0" fontId="8" fillId="8" borderId="7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2" xfId="0" applyNumberFormat="1" applyFont="1" applyFill="1" applyBorder="1" applyAlignment="1">
      <x:alignment horizontal="center"/>
    </x:xf>
    <x:xf numFmtId="0" fontId="8" fillId="8" borderId="3" xfId="0" applyNumberFormat="1" applyFont="1" applyFill="1" applyBorder="1" applyAlignment="1">
      <x:alignment horizontal="center"/>
    </x:xf>
    <x:xf numFmtId="0" fontId="8" fillId="8" borderId="4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0" fontId="8" fillId="8" borderId="6" xfId="0" applyNumberFormat="1" applyFont="1" applyFill="1" applyBorder="1" applyAlignment="1">
      <x:alignment horizontal="center"/>
    </x:xf>
    <x:xf numFmtId="0" fontId="8" fillId="8" borderId="7" xfId="0" applyNumberFormat="1" applyFont="1" applyFill="1" applyBorder="1" applyAlignment="1">
      <x:alignment horizontal="center"/>
    </x:xf>
    <x:xf numFmtId="0" fontId="8" fillId="8" borderId="8" xfId="0" applyNumberFormat="1" applyFont="1" applyFill="1" applyBorder="1" applyAlignment="1">
      <x:alignment horizontal="center"/>
    </x:xf>
    <x:xf numFmtId="0" fontId="8" fillId="8" borderId="9" xfId="0" applyNumberFormat="1" applyFont="1" applyFill="1" applyBorder="1" applyAlignment="1">
      <x:alignment horizont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horizontal="center" vertical="center"/>
    </x:xf>
    <x:xf numFmtId="0" fontId="8" fillId="8" borderId="4" xfId="0" applyNumberFormat="1" applyFont="1" applyFill="1" applyBorder="1" applyAlignment="1">
      <x:alignment horizontal="center" vertical="center"/>
    </x:xf>
    <x:xf numFmtId="0" fontId="8" fillId="8" borderId="5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6" xfId="0" applyNumberFormat="1" applyFont="1" applyFill="1" applyBorder="1" applyAlignment="1">
      <x:alignment horizontal="center" vertical="center"/>
    </x:xf>
    <x:xf numFmtId="0" fontId="8" fillId="8" borderId="7" xfId="0" applyNumberFormat="1" applyFont="1" applyFill="1" applyBorder="1" applyAlignment="1">
      <x:alignment horizontal="center" vertical="center"/>
    </x:xf>
    <x:xf numFmtId="0" fontId="8" fillId="8" borderId="8" xfId="0" applyNumberFormat="1" applyFont="1" applyFill="1" applyBorder="1" applyAlignment="1">
      <x:alignment horizontal="center" vertical="center"/>
    </x:xf>
    <x:xf numFmtId="0" fontId="8" fillId="8" borderId="9" xfId="0" applyNumberFormat="1" applyFont="1" applyFill="1" applyBorder="1" applyAlignment="1">
      <x:alignment horizontal="center" vertical="center"/>
    </x:xf>
    <x:xf numFmtId="201" fontId="8" fillId="8" borderId="2" xfId="0" applyNumberFormat="1" applyFont="1" applyFill="1" applyBorder="1" applyAlignment="1">
      <x:alignment horizontal="center" vertical="center"/>
    </x:xf>
    <x:xf numFmtId="201" fontId="8" fillId="8" borderId="3" xfId="0" applyNumberFormat="1" applyFont="1" applyFill="1" applyBorder="1" applyAlignment="1">
      <x:alignment horizontal="center" vertical="center"/>
    </x:xf>
    <x:xf numFmtId="201" fontId="8" fillId="8" borderId="4" xfId="0" applyNumberFormat="1" applyFont="1" applyFill="1" applyBorder="1" applyAlignment="1">
      <x:alignment horizontal="center" vertical="center"/>
    </x:xf>
    <x:xf numFmtId="201" fontId="8" fillId="8" borderId="5" xfId="0" applyNumberFormat="1" applyFont="1" applyFill="1" applyBorder="1" applyAlignment="1">
      <x:alignment horizontal="center" vertical="center"/>
    </x:xf>
    <x:xf numFmtId="201" fontId="8" fillId="8" borderId="0" xfId="0" applyNumberFormat="1" applyFont="1" applyFill="1" applyBorder="1" applyAlignment="1">
      <x:alignment horizontal="center" vertical="center"/>
    </x:xf>
    <x:xf numFmtId="201" fontId="8" fillId="8" borderId="6" xfId="0" applyNumberFormat="1" applyFont="1" applyFill="1" applyBorder="1" applyAlignment="1">
      <x:alignment horizontal="center" vertical="center"/>
    </x:xf>
    <x:xf numFmtId="201" fontId="8" fillId="8" borderId="7" xfId="0" applyNumberFormat="1" applyFont="1" applyFill="1" applyBorder="1" applyAlignment="1">
      <x:alignment horizontal="center" vertical="center"/>
    </x:xf>
    <x:xf numFmtId="201" fontId="8" fillId="8" borderId="8" xfId="0" applyNumberFormat="1" applyFont="1" applyFill="1" applyBorder="1" applyAlignment="1">
      <x:alignment horizontal="center" vertical="center"/>
    </x:xf>
    <x:xf numFmtId="201" fontId="8" fillId="8" borderId="9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wrapText="1"/>
    </x:xf>
    <x:xf numFmtId="0" fontId="8" fillId="8" borderId="3" xfId="0" applyNumberFormat="1" applyFont="1" applyFill="1" applyBorder="1" applyAlignment="1">
      <x:alignment wrapText="1"/>
    </x:xf>
    <x:xf numFmtId="0" fontId="8" fillId="8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6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8" fillId="8" borderId="4" xfId="0" applyNumberFormat="1" applyFont="1" applyFill="1" applyBorder="1" applyAlignment="1">
      <x:alignment vertical="center" wrapText="1"/>
    </x:xf>
    <x:xf numFmtId="0" fontId="8" fillId="8" borderId="5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6" xfId="0" applyNumberFormat="1" applyFont="1" applyFill="1" applyBorder="1" applyAlignment="1">
      <x:alignment vertical="center" wrapText="1"/>
    </x:xf>
    <x:xf numFmtId="0" fontId="8" fillId="8" borderId="7" xfId="0" applyNumberFormat="1" applyFont="1" applyFill="1" applyBorder="1" applyAlignment="1">
      <x:alignment vertical="center" wrapText="1"/>
    </x:xf>
    <x:xf numFmtId="0" fontId="8" fillId="8" borderId="8" xfId="0" applyNumberFormat="1" applyFont="1" applyFill="1" applyBorder="1" applyAlignment="1">
      <x:alignment vertical="center" wrapText="1"/>
    </x:xf>
    <x:xf numFmtId="0" fontId="8" fillId="8" borderId="9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3" borderId="3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10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166534"/>
      </x:font>
      <x:fill>
        <x:patternFill>
          <x:bgColor rgb="FFDDF3E4"/>
        </x:patternFill>
      </x:fill>
    </x:dxf>
    <x:dxf>
      <x:font>
        <x:b/>
        <x:color rgb="FF075985"/>
      </x:font>
      <x:fill>
        <x:patternFill>
          <x:bgColor rgb="FFD9EEF5"/>
        </x:patternFill>
      </x:fill>
    </x:dxf>
    <x:dxf>
      <x:font>
        <x:b/>
        <x:color rgb="FF854D0E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CE8E6"/>
        </x:patternFill>
      </x:fill>
    </x:dxf>
    <x:dxf>
      <x:font>
        <x:color rgb="FF4B5563"/>
      </x:font>
      <x:fill>
        <x:patternFill>
          <x:bgColor rgb="FFEEF1F4"/>
        </x:patternFill>
      </x:fill>
    </x:dxf>
    <x:dxf>
      <x:font>
        <x:b/>
        <x:color rgb="FF166534"/>
      </x:font>
      <x:fill>
        <x:patternFill>
          <x:bgColor rgb="FFDDF3E4"/>
        </x:patternFill>
      </x:fill>
    </x:dxf>
    <x:dxf>
      <x:font>
        <x:b/>
        <x:color rgb="FF075985"/>
      </x:font>
      <x:fill>
        <x:patternFill>
          <x:bgColor rgb="FFD9EEF5"/>
        </x:patternFill>
      </x:fill>
    </x:dxf>
    <x:dxf>
      <x:font>
        <x:b/>
        <x:color rgb="FF854D0E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CE8E6"/>
        </x:patternFill>
      </x:fill>
    </x:dxf>
    <x:dxf>
      <x:font>
        <x:color rgb="FF4B5563"/>
      </x:font>
      <x:fill>
        <x:patternFill>
          <x:bgColor rgb="FFEEF1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93325ab0164b22" /><Relationship Type="http://schemas.openxmlformats.org/officeDocument/2006/relationships/theme" Target="/xl/theme/theme1.xml" Id="R1ef49240f2424043" /><Relationship Type="http://schemas.openxmlformats.org/officeDocument/2006/relationships/sharedStrings" Target="/xl/sharedStrings.xml" Id="R20efe9e57e9e48fa" /><Relationship Type="http://schemas.openxmlformats.org/officeDocument/2006/relationships/worksheet" Target="/xl/worksheets/sheet1.xml" Id="R0003713ca6f14c40" /><Relationship Type="http://schemas.openxmlformats.org/officeDocument/2006/relationships/worksheet" Target="/xl/worksheets/sheet2.xml" Id="Ra63a0b524d03470d" /><Relationship Type="http://schemas.openxmlformats.org/officeDocument/2006/relationships/worksheet" Target="/xl/worksheets/sheet3.xml" Id="Ra53819266060424a" /><Relationship Type="http://schemas.openxmlformats.org/officeDocument/2006/relationships/worksheet" Target="/xl/worksheets/sheet4.xml" Id="R0d22d3d3ee5145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d571f29d094f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任务状态分布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任务数</c:v>
          </c:tx>
          <c:cat>
            <c:strRef>
              <c:f>'今日看板'!$N$5:$N$9</c:f>
              <c:strCache>
                <c:ptCount val="0"/>
              </c:strCache>
            </c:strRef>
          </c:cat>
          <c:val>
            <c:numRef>
              <c:f>'今日看板'!$O$5:$O$9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d571f29d094fe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bf88dfc841f4c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3" t="str">
        <x:v>唐长安城知识图谱 · 今日进度看板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28" customHeight="1">
      <x:c r="A3" s="18" t="str">
        <x:v>只看这一页即可：它会根据“工作清单”的状态自动更新。最近更新：2026-08-07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>
      <x:c r="N4" t="str">
        <x:v>状态</x:v>
      </x:c>
      <x:c r="O4" t="str">
        <x:v>任务数</x:v>
      </x:c>
    </x:row>
    <x:row r="5">
      <x:c r="A5" s="20" t="str">
        <x:v>总任务数</x:v>
      </x:c>
      <x:c r="B5" s="20"/>
      <x:c r="C5" s="20"/>
      <x:c r="D5" s="20" t="str">
        <x:v>已完成</x:v>
      </x:c>
      <x:c r="E5" s="20"/>
      <x:c r="F5" s="20"/>
      <x:c r="G5" s="20" t="str">
        <x:v>进行中</x:v>
      </x:c>
      <x:c r="H5" s="20"/>
      <x:c r="I5" s="20"/>
      <x:c r="J5" s="20" t="str">
        <x:v>完成率</x:v>
      </x:c>
      <x:c r="K5" s="20"/>
      <x:c r="L5" s="20"/>
      <x:c r="N5" t="str">
        <x:v>已完成</x:v>
      </x:c>
      <x:c r="O5" t="n">
        <x:f>COUNTIF('工作清单'!$E$4:$E$100,N5)</x:f>
        <x:v>11</x:v>
      </x:c>
    </x:row>
    <x:row r="6">
      <x:c r="A6" s="40" t="n">
        <x:f>COUNTA('工作清单'!$A$4:$A$100)</x:f>
        <x:v>42</x:v>
      </x:c>
      <x:c r="B6" s="41"/>
      <x:c r="C6" s="42"/>
      <x:c r="D6" s="68" t="n">
        <x:f>COUNTIF('工作清单'!$E$4:$E$100,"已完成")</x:f>
        <x:v>11</x:v>
      </x:c>
      <x:c r="E6" s="69"/>
      <x:c r="F6" s="70"/>
      <x:c r="G6" s="96" t="n">
        <x:f>COUNTIF('工作清单'!$E$4:$E$100,"进行中")</x:f>
        <x:v>2</x:v>
      </x:c>
      <x:c r="H6" s="97"/>
      <x:c r="I6" s="98"/>
      <x:c r="J6" s="133" t="n">
        <x:f>IFERROR(COUNTIF('工作清单'!$E$4:$E$100,"已完成")/COUNTA('工作清单'!$A$4:$A$100),0)</x:f>
        <x:v>0.2619047619047619</x:v>
      </x:c>
      <x:c r="K6" s="134"/>
      <x:c r="L6" s="135"/>
      <x:c r="N6" t="str">
        <x:v>进行中</x:v>
      </x:c>
      <x:c r="O6" t="n">
        <x:f>COUNTIF('工作清单'!$E$4:$E$100,N6)</x:f>
        <x:v>2</x:v>
      </x:c>
    </x:row>
    <x:row r="7">
      <x:c r="A7" s="43"/>
      <x:c r="B7" s="44"/>
      <x:c r="C7" s="45"/>
      <x:c r="D7" s="71"/>
      <x:c r="E7" s="72"/>
      <x:c r="F7" s="73"/>
      <x:c r="G7" s="99"/>
      <x:c r="H7" s="100"/>
      <x:c r="I7" s="101"/>
      <x:c r="J7" s="136"/>
      <x:c r="K7" s="137"/>
      <x:c r="L7" s="138"/>
      <x:c r="N7" t="str">
        <x:v>等待确认</x:v>
      </x:c>
      <x:c r="O7" t="n">
        <x:f>COUNTIF('工作清单'!$E$4:$E$100,N7)</x:f>
        <x:v>3</x:v>
      </x:c>
    </x:row>
    <x:row r="8">
      <x:c r="A8" s="46"/>
      <x:c r="B8" s="47"/>
      <x:c r="C8" s="48"/>
      <x:c r="D8" s="74"/>
      <x:c r="E8" s="75"/>
      <x:c r="F8" s="76"/>
      <x:c r="G8" s="102"/>
      <x:c r="H8" s="103"/>
      <x:c r="I8" s="104"/>
      <x:c r="J8" s="139"/>
      <x:c r="K8" s="140"/>
      <x:c r="L8" s="141"/>
      <x:c r="N8" t="str">
        <x:v>遇到问题</x:v>
      </x:c>
      <x:c r="O8" t="n">
        <x:f>COUNTIF('工作清单'!$E$4:$E$100,N8)</x:f>
        <x:v>0</x:v>
      </x:c>
    </x:row>
    <x:row r="9">
      <x:c r="N9" t="str">
        <x:v>尚未开始</x:v>
      </x:c>
      <x:c r="O9" t="n">
        <x:f>COUNTIF('工作清单'!$E$4:$E$100,N9)</x:f>
        <x:v>26</x:v>
      </x:c>
    </x:row>
    <x:row r="10">
      <x:c r="A10" s="142" t="str">
        <x:v>现在做到哪里</x:v>
      </x:c>
      <x:c r="B10" s="142"/>
      <x:c r="C10" s="142"/>
      <x:c r="D10" s="142"/>
      <x:c r="E10" s="142"/>
      <x:c r="F10" s="142"/>
    </x:row>
    <x:row r="11">
      <x:c r="A11" s="152" t="str">
        <x:v>当前阶段：阶段二联合评审等待中；阶段三文献初选已启动
总体状态：现有3份主文献已确定，补充考古与水系资料待取得
已完成：小型样例文献选择方案v1，并确定建议样例对象群</x:v>
      </x:c>
      <x:c r="B11" s="153"/>
      <x:c r="C11" s="153"/>
      <x:c r="D11" s="153"/>
      <x:c r="E11" s="153"/>
      <x:c r="F11" s="154"/>
    </x:row>
    <x:row r="12">
      <x:c r="A12" s="155"/>
      <x:c r="B12" s="156"/>
      <x:c r="C12" s="156"/>
      <x:c r="D12" s="156"/>
      <x:c r="E12" s="156"/>
      <x:c r="F12" s="157"/>
    </x:row>
    <x:row r="13">
      <x:c r="A13" s="158"/>
      <x:c r="B13" s="159"/>
      <x:c r="C13" s="159"/>
      <x:c r="D13" s="159"/>
      <x:c r="E13" s="159"/>
      <x:c r="F13" s="160"/>
    </x:row>
    <x:row r="15">
      <x:c r="A15" s="142" t="str">
        <x:v>下一步只做这三件事</x:v>
      </x:c>
      <x:c r="B15" s="142"/>
      <x:c r="C15" s="142"/>
      <x:c r="D15" s="142"/>
      <x:c r="E15" s="142"/>
      <x:c r="F15" s="142"/>
    </x:row>
    <x:row r="16">
      <x:c r="A16" s="170" t="str">
        <x:v>1. 团队确认小型样例文献和对象名单。
2. 优先查找《隋唐长安城遗址·考古资料编》。
3. 用现有《唐两京城坊考》定位第一批史料片段。</x:v>
      </x:c>
      <x:c r="B16" s="171"/>
      <x:c r="C16" s="171"/>
      <x:c r="D16" s="171"/>
      <x:c r="E16" s="171"/>
      <x:c r="F16" s="172"/>
    </x:row>
    <x:row r="17">
      <x:c r="A17" s="173"/>
      <x:c r="B17" s="174"/>
      <x:c r="C17" s="174"/>
      <x:c r="D17" s="174"/>
      <x:c r="E17" s="174"/>
      <x:c r="F17" s="175"/>
    </x:row>
    <x:row r="18">
      <x:c r="A18" s="173"/>
      <x:c r="B18" s="174"/>
      <x:c r="C18" s="174"/>
      <x:c r="D18" s="174"/>
      <x:c r="E18" s="174"/>
      <x:c r="F18" s="175"/>
    </x:row>
    <x:row r="19">
      <x:c r="A19" s="176"/>
      <x:c r="B19" s="177"/>
      <x:c r="C19" s="177"/>
      <x:c r="D19" s="177"/>
      <x:c r="E19" s="177"/>
      <x:c r="F19" s="178"/>
    </x:row>
    <x:row r="21">
      <x:c r="A21" s="19" t="str">
        <x:v>重要提醒</x:v>
      </x:c>
      <x:c r="B21" s="19"/>
      <x:c r="C21" s="19"/>
      <x:c r="D21" s="19"/>
      <x:c r="E21" s="19"/>
      <x:c r="F21" s="19"/>
    </x:row>
    <x:row r="22">
      <x:c r="A22" s="196" t="str">
        <x:v>现有《唐两京城坊考》适合名称、功能和相对方位；考古尺寸、坐标和复原位置不能凭文字推测，需补充考古资料。</x:v>
      </x:c>
      <x:c r="B22" s="197"/>
      <x:c r="C22" s="197"/>
      <x:c r="D22" s="197"/>
      <x:c r="E22" s="197"/>
      <x:c r="F22" s="198"/>
    </x:row>
    <x:row r="23">
      <x:c r="A23" s="199"/>
      <x:c r="B23" s="200"/>
      <x:c r="C23" s="200"/>
      <x:c r="D23" s="200"/>
      <x:c r="E23" s="200"/>
      <x:c r="F23" s="201"/>
    </x:row>
    <x:row r="24">
      <x:c r="A24" s="202"/>
      <x:c r="B24" s="203"/>
      <x:c r="C24" s="203"/>
      <x:c r="D24" s="203"/>
      <x:c r="E24" s="203"/>
      <x:c r="F24" s="204"/>
    </x:row>
  </x:sheetData>
  <x:mergeCells>
    <x:mergeCell ref="A1:L1"/>
    <x:mergeCell ref="A3:L3"/>
    <x:mergeCell ref="A5:C5"/>
    <x:mergeCell ref="A6:C8"/>
    <x:mergeCell ref="D5:F5"/>
    <x:mergeCell ref="D6:F8"/>
    <x:mergeCell ref="G5:I5"/>
    <x:mergeCell ref="G6:I8"/>
    <x:mergeCell ref="J5:L5"/>
    <x:mergeCell ref="J6:L8"/>
    <x:mergeCell ref="A10:F10"/>
    <x:mergeCell ref="A11:F13"/>
    <x:mergeCell ref="A15:F15"/>
    <x:mergeCell ref="A16:F19"/>
    <x:mergeCell ref="A21:F21"/>
    <x:mergeCell ref="A22:F24"/>
  </x:mergeCells>
  <x:pageMargins left="0.7" right="0.7" top="0.75" bottom="0.75" header="0.3" footer="0.3"/>
  <x:drawing xmlns:r="http://schemas.openxmlformats.org/officeDocument/2006/relationships" r:id="Rebf88dfc841f4c0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36" hidden="0" customWidth="1"/>
    <x:col min="4" max="4" width="12" hidden="0" customWidth="1"/>
    <x:col min="5" max="5" width="14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32" hidden="0" customWidth="1"/>
    <x:col min="11" max="11" width="28" hidden="0" customWidth="1"/>
    <x:col min="12" max="12" width="34" hidden="0" customWidth="1"/>
  </x:cols>
  <x:sheetData>
    <x:row r="1" ht="34" customHeight="1">
      <x:c r="A1" s="3" t="str">
        <x:v>唐长安城知识图谱 · 完整工作清单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使用方法：平时只需修改“状态、负责人、日期、下一步”。首页会自动更新。带期限的日期是建议值，可以随实际情况调整。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30" customHeight="1">
      <x:c r="A3" s="12" t="str">
        <x:v>任务编号</x:v>
      </x:c>
      <x:c r="B3" s="12" t="str">
        <x:v>阶段</x:v>
      </x:c>
      <x:c r="C3" s="12" t="str">
        <x:v>工作内容</x:v>
      </x:c>
      <x:c r="D3" s="12" t="str">
        <x:v>负责人</x:v>
      </x:c>
      <x:c r="E3" s="12" t="str">
        <x:v>状态</x:v>
      </x:c>
      <x:c r="F3" s="12" t="str">
        <x:v>优先级</x:v>
      </x:c>
      <x:c r="G3" s="12" t="str">
        <x:v>开始日期</x:v>
      </x:c>
      <x:c r="H3" s="12" t="str">
        <x:v>计划完成</x:v>
      </x:c>
      <x:c r="I3" s="12" t="str">
        <x:v>实际完成</x:v>
      </x:c>
      <x:c r="J3" s="12" t="str">
        <x:v>下一步</x:v>
      </x:c>
      <x:c r="K3" s="12" t="str">
        <x:v>交付物</x:v>
      </x:c>
      <x:c r="L3" s="12" t="str">
        <x:v>备注</x:v>
      </x:c>
    </x:row>
    <x:row r="4">
      <x:c r="A4" s="16" t="str">
        <x:v>S1-01</x:v>
      </x:c>
      <x:c r="B4" s="16" t="str">
        <x:v>阶段一：版本管理</x:v>
      </x:c>
      <x:c r="C4" s="16" t="str">
        <x:v>建立文献提取工程Git仓库</x:v>
      </x:c>
      <x:c r="D4" s="16" t="str">
        <x:v>Codex</x:v>
      </x:c>
      <x:c r="E4" s="16" t="str">
        <x:v>已完成</x:v>
      </x:c>
      <x:c r="F4" s="16" t="str">
        <x:v>P0</x:v>
      </x:c>
      <x:c r="G4" s="17" t="str">
        <x:v>2026-08-07</x:v>
      </x:c>
      <x:c r="H4" s="17" t="str">
        <x:v>2026-08-07</x:v>
      </x:c>
      <x:c r="I4" s="17" t="str">
        <x:v>2026-08-07</x:v>
      </x:c>
      <x:c r="J4" s="16" t="str">
        <x:v>保持工作区干净</x:v>
      </x:c>
      <x:c r="K4" s="16" t="str">
        <x:v>Git基线6977c62</x:v>
      </x:c>
      <x:c r="L4" s="16"/>
    </x:row>
    <x:row r="5">
      <x:c r="A5" s="16" t="str">
        <x:v>S1-02</x:v>
      </x:c>
      <x:c r="B5" s="16" t="str">
        <x:v>阶段一：版本管理</x:v>
      </x:c>
      <x:c r="C5" s="16" t="str">
        <x:v>添加.gitignore并排除临时文件</x:v>
      </x:c>
      <x:c r="D5" s="16" t="str">
        <x:v>Codex</x:v>
      </x:c>
      <x:c r="E5" s="16" t="str">
        <x:v>已完成</x:v>
      </x:c>
      <x:c r="F5" s="16" t="str">
        <x:v>P1</x:v>
      </x:c>
      <x:c r="G5" s="17" t="str">
        <x:v>2026-08-07</x:v>
      </x:c>
      <x:c r="H5" s="17" t="str">
        <x:v>2026-08-07</x:v>
      </x:c>
      <x:c r="I5" s="17" t="str">
        <x:v>2026-08-07</x:v>
      </x:c>
      <x:c r="J5" s="16" t="str">
        <x:v>随项目补充忽略规则</x:v>
      </x:c>
      <x:c r="K5" s="16" t="str">
        <x:v>.gitignore</x:v>
      </x:c>
      <x:c r="L5" s="16"/>
    </x:row>
    <x:row r="6">
      <x:c r="A6" s="16" t="str">
        <x:v>S1-03</x:v>
      </x:c>
      <x:c r="B6" s="16" t="str">
        <x:v>阶段一：版本管理</x:v>
      </x:c>
      <x:c r="C6" s="16" t="str">
        <x:v>复制青瓷平台为唐长安城独立平台</x:v>
      </x:c>
      <x:c r="D6" s="16" t="str">
        <x:v>Codex</x:v>
      </x:c>
      <x:c r="E6" s="16" t="str">
        <x:v>已完成</x:v>
      </x:c>
      <x:c r="F6" s="16" t="str">
        <x:v>P0</x:v>
      </x:c>
      <x:c r="G6" s="17" t="str">
        <x:v>2026-08-07</x:v>
      </x:c>
      <x:c r="H6" s="17" t="str">
        <x:v>2026-08-07</x:v>
      </x:c>
      <x:c r="I6" s="17" t="str">
        <x:v>2026-08-07</x:v>
      </x:c>
      <x:c r="J6" s="16" t="str">
        <x:v>保留青瓷原库不动</x:v>
      </x:c>
      <x:c r="K6" s="16" t="str">
        <x:v>tang-changan-knowledge-graph</x:v>
      </x:c>
      <x:c r="L6" s="16"/>
    </x:row>
    <x:row r="7">
      <x:c r="A7" s="16" t="str">
        <x:v>S1-04</x:v>
      </x:c>
      <x:c r="B7" s="16" t="str">
        <x:v>阶段一：版本管理</x:v>
      </x:c>
      <x:c r="C7" s="16" t="str">
        <x:v>建立新平台Git仓库</x:v>
      </x:c>
      <x:c r="D7" s="16" t="str">
        <x:v>Codex</x:v>
      </x:c>
      <x:c r="E7" s="16" t="str">
        <x:v>已完成</x:v>
      </x:c>
      <x:c r="F7" s="16" t="str">
        <x:v>P0</x:v>
      </x:c>
      <x:c r="G7" s="17" t="str">
        <x:v>2026-08-07</x:v>
      </x:c>
      <x:c r="H7" s="17" t="str">
        <x:v>2026-08-07</x:v>
      </x:c>
      <x:c r="I7" s="17" t="str">
        <x:v>2026-08-07</x:v>
      </x:c>
      <x:c r="J7" s="16" t="str">
        <x:v>远程上传前处理大型模拟数据</x:v>
      </x:c>
      <x:c r="K7" s="16" t="str">
        <x:v>Git基线2d6f9f7</x:v>
      </x:c>
      <x:c r="L7" s="16" t="str">
        <x:v>含超过100MB的青瓷模拟文件</x:v>
      </x:c>
    </x:row>
    <x:row r="8">
      <x:c r="A8" s="16" t="str">
        <x:v>S2-01</x:v>
      </x:c>
      <x:c r="B8" s="16" t="str">
        <x:v>阶段二：字段规范</x:v>
      </x:c>
      <x:c r="C8" s="16" t="str">
        <x:v>确定六张表公共字段</x:v>
      </x:c>
      <x:c r="D8" s="16" t="str">
        <x:v>共同</x:v>
      </x:c>
      <x:c r="E8" s="16" t="str">
        <x:v>已完成</x:v>
      </x:c>
      <x:c r="F8" s="16" t="str">
        <x:v>P0</x:v>
      </x:c>
      <x:c r="G8" s="17" t="str">
        <x:v>2026-08-07</x:v>
      </x:c>
      <x:c r="H8" s="17" t="str">
        <x:v>2026-08-07</x:v>
      </x:c>
      <x:c r="I8" s="17" t="str">
        <x:v>2026-08-07</x:v>
      </x:c>
      <x:c r="J8" s="16" t="str">
        <x:v>团队评审</x:v>
      </x:c>
      <x:c r="K8" s="16" t="str">
        <x:v>公共证据、审核、时期字段</x:v>
      </x:c>
      <x:c r="L8" s="16"/>
    </x:row>
    <x:row r="9">
      <x:c r="A9" s="16" t="str">
        <x:v>S2-02</x:v>
      </x:c>
      <x:c r="B9" s="16" t="str">
        <x:v>阶段二：字段规范</x:v>
      </x:c>
      <x:c r="C9" s="16" t="str">
        <x:v>确定统一编号规则</x:v>
      </x:c>
      <x:c r="D9" s="16" t="str">
        <x:v>共同</x:v>
      </x:c>
      <x:c r="E9" s="16" t="str">
        <x:v>已完成</x:v>
      </x:c>
      <x:c r="F9" s="16" t="str">
        <x:v>P0</x:v>
      </x:c>
      <x:c r="G9" s="17" t="str">
        <x:v>2026-08-07</x:v>
      </x:c>
      <x:c r="H9" s="17" t="str">
        <x:v>2026-08-07</x:v>
      </x:c>
      <x:c r="I9" s="17" t="str">
        <x:v>2026-08-07</x:v>
      </x:c>
      <x:c r="J9" s="16" t="str">
        <x:v>维护编号不重复</x:v>
      </x:c>
      <x:c r="K9" s="16" t="str">
        <x:v>TC-FANG/ROAD/CANAL/GATE/SCALE/RULE</x:v>
      </x:c>
      <x:c r="L9" s="16"/>
    </x:row>
    <x:row r="10">
      <x:c r="A10" s="16" t="str">
        <x:v>S2-03</x:v>
      </x:c>
      <x:c r="B10" s="16" t="str">
        <x:v>阶段二：字段规范</x:v>
      </x:c>
      <x:c r="C10" s="16" t="str">
        <x:v>生成阶段二v1录入模板</x:v>
      </x:c>
      <x:c r="D10" s="16" t="str">
        <x:v>Codex</x:v>
      </x:c>
      <x:c r="E10" s="16" t="str">
        <x:v>已完成</x:v>
      </x:c>
      <x:c r="F10" s="16" t="str">
        <x:v>P0</x:v>
      </x:c>
      <x:c r="G10" s="17" t="str">
        <x:v>2026-08-07</x:v>
      </x:c>
      <x:c r="H10" s="17" t="str">
        <x:v>2026-08-07</x:v>
      </x:c>
      <x:c r="I10" s="17" t="str">
        <x:v>2026-08-07</x:v>
      </x:c>
      <x:c r="J10" s="16" t="str">
        <x:v>团队试填</x:v>
      </x:c>
      <x:c r="K10" s="16" t="str">
        <x:v>12张工作表模板，Git 656647b</x:v>
      </x:c>
      <x:c r="L10" s="16"/>
    </x:row>
    <x:row r="11">
      <x:c r="A11" s="16" t="str">
        <x:v>S2-04</x:v>
      </x:c>
      <x:c r="B11" s="16" t="str">
        <x:v>阶段二：字段规范</x:v>
      </x:c>
      <x:c r="C11" s="16" t="str">
        <x:v>确认坊功能表专业字段</x:v>
      </x:c>
      <x:c r="D11" s="16" t="str">
        <x:v>同事</x:v>
      </x:c>
      <x:c r="E11" s="16" t="str">
        <x:v>等待确认</x:v>
      </x:c>
      <x:c r="F11" s="16" t="str">
        <x:v>P0</x:v>
      </x:c>
      <x:c r="G11" s="17"/>
      <x:c r="H11" s="17" t="str">
        <x:v>2026-08-12</x:v>
      </x:c>
      <x:c r="I11" s="17"/>
      <x:c r="J11" s="16" t="str">
        <x:v>组织字段评审</x:v>
      </x:c>
      <x:c r="K11" s="16" t="str">
        <x:v>坊功能表最终字段</x:v>
      </x:c>
      <x:c r="L11" s="16" t="str">
        <x:v>同事负责前三张表</x:v>
      </x:c>
    </x:row>
    <x:row r="12">
      <x:c r="A12" s="16" t="str">
        <x:v>S2-05</x:v>
      </x:c>
      <x:c r="B12" s="16" t="str">
        <x:v>阶段二：字段规范</x:v>
      </x:c>
      <x:c r="C12" s="16" t="str">
        <x:v>确认道路分级表专业字段</x:v>
      </x:c>
      <x:c r="D12" s="16" t="str">
        <x:v>同事</x:v>
      </x:c>
      <x:c r="E12" s="16" t="str">
        <x:v>等待确认</x:v>
      </x:c>
      <x:c r="F12" s="16" t="str">
        <x:v>P0</x:v>
      </x:c>
      <x:c r="G12" s="17"/>
      <x:c r="H12" s="17" t="str">
        <x:v>2026-08-12</x:v>
      </x:c>
      <x:c r="I12" s="17"/>
      <x:c r="J12" s="16" t="str">
        <x:v>组织字段评审</x:v>
      </x:c>
      <x:c r="K12" s="16" t="str">
        <x:v>道路分级表最终字段</x:v>
      </x:c>
      <x:c r="L12" s="16"/>
    </x:row>
    <x:row r="13">
      <x:c r="A13" s="16" t="str">
        <x:v>S2-06</x:v>
      </x:c>
      <x:c r="B13" s="16" t="str">
        <x:v>阶段二：字段规范</x:v>
      </x:c>
      <x:c r="C13" s="16" t="str">
        <x:v>确认水渠表专业字段</x:v>
      </x:c>
      <x:c r="D13" s="16" t="str">
        <x:v>同事</x:v>
      </x:c>
      <x:c r="E13" s="16" t="str">
        <x:v>等待确认</x:v>
      </x:c>
      <x:c r="F13" s="16" t="str">
        <x:v>P0</x:v>
      </x:c>
      <x:c r="G13" s="17"/>
      <x:c r="H13" s="17" t="str">
        <x:v>2026-08-12</x:v>
      </x:c>
      <x:c r="I13" s="17"/>
      <x:c r="J13" s="16" t="str">
        <x:v>组织字段评审</x:v>
      </x:c>
      <x:c r="K13" s="16" t="str">
        <x:v>水渠表最终字段</x:v>
      </x:c>
      <x:c r="L13" s="16"/>
    </x:row>
    <x:row r="14">
      <x:c r="A14" s="16" t="str">
        <x:v>S2-07</x:v>
      </x:c>
      <x:c r="B14" s="16" t="str">
        <x:v>阶段二：字段规范</x:v>
      </x:c>
      <x:c r="C14" s="16" t="str">
        <x:v>确认城门表专业字段</x:v>
      </x:c>
      <x:c r="D14" s="16" t="str">
        <x:v>我</x:v>
      </x:c>
      <x:c r="E14" s="16" t="str">
        <x:v>已完成</x:v>
      </x:c>
      <x:c r="F14" s="16" t="str">
        <x:v>P0</x:v>
      </x:c>
      <x:c r="G14" s="17" t="str">
        <x:v>2026-08-07</x:v>
      </x:c>
      <x:c r="H14" s="17" t="str">
        <x:v>2026-08-12</x:v>
      </x:c>
      <x:c r="I14" s="17" t="str">
        <x:v>2026-08-07</x:v>
      </x:c>
      <x:c r="J14" s="16" t="str">
        <x:v>参加六张表联合评审</x:v>
      </x:c>
      <x:c r="K14" s="16" t="str">
        <x:v>城门表最终字段</x:v>
      </x:c>
      <x:c r="L14" s="16"/>
    </x:row>
    <x:row r="15">
      <x:c r="A15" s="16" t="str">
        <x:v>S2-08</x:v>
      </x:c>
      <x:c r="B15" s="16" t="str">
        <x:v>阶段二：字段规范</x:v>
      </x:c>
      <x:c r="C15" s="16" t="str">
        <x:v>确认尺度关系表专业字段</x:v>
      </x:c>
      <x:c r="D15" s="16" t="str">
        <x:v>我</x:v>
      </x:c>
      <x:c r="E15" s="16" t="str">
        <x:v>已完成</x:v>
      </x:c>
      <x:c r="F15" s="16" t="str">
        <x:v>P0</x:v>
      </x:c>
      <x:c r="G15" s="17" t="str">
        <x:v>2026-08-07</x:v>
      </x:c>
      <x:c r="H15" s="17" t="str">
        <x:v>2026-08-12</x:v>
      </x:c>
      <x:c r="I15" s="17" t="str">
        <x:v>2026-08-07</x:v>
      </x:c>
      <x:c r="J15" s="16" t="str">
        <x:v>参加六张表联合评审</x:v>
      </x:c>
      <x:c r="K15" s="16" t="str">
        <x:v>尺度关系表最终字段</x:v>
      </x:c>
      <x:c r="L15" s="16"/>
    </x:row>
    <x:row r="16">
      <x:c r="A16" s="16" t="str">
        <x:v>S2-09</x:v>
      </x:c>
      <x:c r="B16" s="16" t="str">
        <x:v>阶段二：字段规范</x:v>
      </x:c>
      <x:c r="C16" s="16" t="str">
        <x:v>确认功能分区规则专业字段</x:v>
      </x:c>
      <x:c r="D16" s="16" t="str">
        <x:v>我</x:v>
      </x:c>
      <x:c r="E16" s="16" t="str">
        <x:v>已完成</x:v>
      </x:c>
      <x:c r="F16" s="16" t="str">
        <x:v>P0</x:v>
      </x:c>
      <x:c r="G16" s="17" t="str">
        <x:v>2026-08-07</x:v>
      </x:c>
      <x:c r="H16" s="17" t="str">
        <x:v>2026-08-12</x:v>
      </x:c>
      <x:c r="I16" s="17" t="str">
        <x:v>2026-08-07</x:v>
      </x:c>
      <x:c r="J16" s="16" t="str">
        <x:v>参加六张表联合评审</x:v>
      </x:c>
      <x:c r="K16" s="16" t="str">
        <x:v>功能分区规则最终字段</x:v>
      </x:c>
      <x:c r="L16" s="16"/>
    </x:row>
    <x:row r="17">
      <x:c r="A17" s="16" t="str">
        <x:v>S2-10</x:v>
      </x:c>
      <x:c r="B17" s="16" t="str">
        <x:v>阶段二：字段规范</x:v>
      </x:c>
      <x:c r="C17" s="16" t="str">
        <x:v>确定六张专题表转实体表/关系表规则</x:v>
      </x:c>
      <x:c r="D17" s="16" t="str">
        <x:v>共同</x:v>
      </x:c>
      <x:c r="E17" s="16" t="str">
        <x:v>已完成</x:v>
      </x:c>
      <x:c r="F17" s="16" t="str">
        <x:v>P0</x:v>
      </x:c>
      <x:c r="G17" s="17" t="str">
        <x:v>2026-08-07</x:v>
      </x:c>
      <x:c r="H17" s="17" t="str">
        <x:v>2026-08-14</x:v>
      </x:c>
      <x:c r="I17" s="17" t="str">
        <x:v>2026-08-07</x:v>
      </x:c>
      <x:c r="J17" s="16" t="str">
        <x:v>后续编写并测试转换脚本</x:v>
      </x:c>
      <x:c r="K17" s="16" t="str">
        <x:v>转换规则表v1、坊间空间关系表</x:v>
      </x:c>
      <x:c r="L17" s="16" t="str">
        <x:v>专题表作为录入入口，自动生成通用实体/关系</x:v>
      </x:c>
    </x:row>
    <x:row r="18">
      <x:c r="A18" s="16" t="str">
        <x:v>S2-11</x:v>
      </x:c>
      <x:c r="B18" s="16" t="str">
        <x:v>阶段二：字段规范</x:v>
      </x:c>
      <x:c r="C18" s="16" t="str">
        <x:v>召开六张表字段联合评审</x:v>
      </x:c>
      <x:c r="D18" s="16" t="str">
        <x:v>共同</x:v>
      </x:c>
      <x:c r="E18" s="16" t="str">
        <x:v>尚未开始</x:v>
      </x:c>
      <x:c r="F18" s="16" t="str">
        <x:v>P0</x:v>
      </x:c>
      <x:c r="G18" s="17"/>
      <x:c r="H18" s="17" t="str">
        <x:v>2026-08-14</x:v>
      </x:c>
      <x:c r="I18" s="17"/>
      <x:c r="J18" s="16" t="str">
        <x:v>约定评审时间</x:v>
      </x:c>
      <x:c r="K18" s="16" t="str">
        <x:v>评审记录</x:v>
      </x:c>
      <x:c r="L18" s="16"/>
    </x:row>
    <x:row r="19">
      <x:c r="A19" s="16" t="str">
        <x:v>S2-12</x:v>
      </x:c>
      <x:c r="B19" s="16" t="str">
        <x:v>阶段二：字段规范</x:v>
      </x:c>
      <x:c r="C19" s="16" t="str">
        <x:v>冻结六张核心表字段规范v1</x:v>
      </x:c>
      <x:c r="D19" s="16" t="str">
        <x:v>共同</x:v>
      </x:c>
      <x:c r="E19" s="16" t="str">
        <x:v>尚未开始</x:v>
      </x:c>
      <x:c r="F19" s="16" t="str">
        <x:v>P0</x:v>
      </x:c>
      <x:c r="G19" s="17"/>
      <x:c r="H19" s="17" t="str">
        <x:v>2026-08-15</x:v>
      </x:c>
      <x:c r="I19" s="17"/>
      <x:c r="J19" s="16" t="str">
        <x:v>评审通过后Git存档</x:v>
      </x:c>
      <x:c r="K19" s="16" t="str">
        <x:v>字段规范v1</x:v>
      </x:c>
      <x:c r="L19" s="16"/>
    </x:row>
    <x:row r="20">
      <x:c r="A20" s="16" t="str">
        <x:v>S3-01</x:v>
      </x:c>
      <x:c r="B20" s="16" t="str">
        <x:v>阶段三：文献建设</x:v>
      </x:c>
      <x:c r="C20" s="16" t="str">
        <x:v>盘点现有文献并分配TC-REF编号</x:v>
      </x:c>
      <x:c r="D20" s="16" t="str">
        <x:v>我</x:v>
      </x:c>
      <x:c r="E20" s="16" t="str">
        <x:v>进行中</x:v>
      </x:c>
      <x:c r="F20" s="16" t="str">
        <x:v>P1</x:v>
      </x:c>
      <x:c r="G20" s="17" t="str">
        <x:v>2026-08-07</x:v>
      </x:c>
      <x:c r="H20" s="17"/>
      <x:c r="I20" s="17"/>
      <x:c r="J20" s="16" t="str">
        <x:v>核对3份现有文献并补齐来源编号</x:v>
      </x:c>
      <x:c r="K20" s="16" t="str">
        <x:v>小型样例文献选择方案v1</x:v>
      </x:c>
      <x:c r="L20" s="16" t="str">
        <x:v>已完成初选，待正式登记来源表</x:v>
      </x:c>
    </x:row>
    <x:row r="21">
      <x:c r="A21" s="16" t="str">
        <x:v>S3-02</x:v>
      </x:c>
      <x:c r="B21" s="16" t="str">
        <x:v>阶段三：文献建设</x:v>
      </x:c>
      <x:c r="C21" s="16" t="str">
        <x:v>建立六类数据缺失文献需求表</x:v>
      </x:c>
      <x:c r="D21" s="16" t="str">
        <x:v>共同</x:v>
      </x:c>
      <x:c r="E21" s="16" t="str">
        <x:v>进行中</x:v>
      </x:c>
      <x:c r="F21" s="16" t="str">
        <x:v>P1</x:v>
      </x:c>
      <x:c r="G21" s="17" t="str">
        <x:v>2026-08-07</x:v>
      </x:c>
      <x:c r="H21" s="17"/>
      <x:c r="I21" s="17"/>
      <x:c r="J21" s="16" t="str">
        <x:v>确认考古、尺度、水系资料的取得顺序</x:v>
      </x:c>
      <x:c r="K21" s="16" t="str">
        <x:v>初步文献缺口与优先级</x:v>
      </x:c>
      <x:c r="L21" s="16" t="str">
        <x:v>优先取得《隋唐长安城遗址·考古资料编》</x:v>
      </x:c>
    </x:row>
    <x:row r="22">
      <x:c r="A22" s="16" t="str">
        <x:v>S3-03</x:v>
      </x:c>
      <x:c r="B22" s="16" t="str">
        <x:v>阶段三：文献建设</x:v>
      </x:c>
      <x:c r="C22" s="16" t="str">
        <x:v>补充城门、道路、水渠考古资料</x:v>
      </x:c>
      <x:c r="D22" s="16" t="str">
        <x:v>共同</x:v>
      </x:c>
      <x:c r="E22" s="16" t="str">
        <x:v>尚未开始</x:v>
      </x:c>
      <x:c r="F22" s="16" t="str">
        <x:v>P1</x:v>
      </x:c>
      <x:c r="G22" s="17"/>
      <x:c r="H22" s="17"/>
      <x:c r="I22" s="17"/>
      <x:c r="J22" s="16" t="str">
        <x:v>优先权威考古报告</x:v>
      </x:c>
      <x:c r="K22" s="16" t="str">
        <x:v>新增文献</x:v>
      </x:c>
      <x:c r="L22" s="16"/>
    </x:row>
    <x:row r="23">
      <x:c r="A23" s="16" t="str">
        <x:v>S3-04</x:v>
      </x:c>
      <x:c r="B23" s="16" t="str">
        <x:v>阶段三：文献建设</x:v>
      </x:c>
      <x:c r="C23" s="16" t="str">
        <x:v>补充度量衡、复原图和GIS资料</x:v>
      </x:c>
      <x:c r="D23" s="16" t="str">
        <x:v>我</x:v>
      </x:c>
      <x:c r="E23" s="16" t="str">
        <x:v>尚未开始</x:v>
      </x:c>
      <x:c r="F23" s="16" t="str">
        <x:v>P1</x:v>
      </x:c>
      <x:c r="G23" s="17"/>
      <x:c r="H23" s="17"/>
      <x:c r="I23" s="17"/>
      <x:c r="J23" s="16" t="str">
        <x:v>用于尺度和坐标</x:v>
      </x:c>
      <x:c r="K23" s="16" t="str">
        <x:v>新增文献</x:v>
      </x:c>
      <x:c r="L23" s="16"/>
    </x:row>
    <x:row r="24">
      <x:c r="A24" s="16" t="str">
        <x:v>S3-05</x:v>
      </x:c>
      <x:c r="B24" s="16" t="str">
        <x:v>阶段三：文献建设</x:v>
      </x:c>
      <x:c r="C24" s="16" t="str">
        <x:v>建立文献质量等级A-D</x:v>
      </x:c>
      <x:c r="D24" s="16" t="str">
        <x:v>共同</x:v>
      </x:c>
      <x:c r="E24" s="16" t="str">
        <x:v>尚未开始</x:v>
      </x:c>
      <x:c r="F24" s="16" t="str">
        <x:v>P2</x:v>
      </x:c>
      <x:c r="G24" s="17"/>
      <x:c r="H24" s="17"/>
      <x:c r="I24" s="17"/>
      <x:c r="J24" s="16" t="str">
        <x:v>明确可用于坐标和尺度的来源</x:v>
      </x:c>
      <x:c r="K24" s="16" t="str">
        <x:v>质量分级规则</x:v>
      </x:c>
      <x:c r="L24" s="16"/>
    </x:row>
    <x:row r="25">
      <x:c r="A25" s="16" t="str">
        <x:v>S4-01</x:v>
      </x:c>
      <x:c r="B25" s="16" t="str">
        <x:v>阶段四：小型样例</x:v>
      </x:c>
      <x:c r="C25" s="16" t="str">
        <x:v>选择5坊、3道路、2水渠、5城门</x:v>
      </x:c>
      <x:c r="D25" s="16" t="str">
        <x:v>共同</x:v>
      </x:c>
      <x:c r="E25" s="16" t="str">
        <x:v>尚未开始</x:v>
      </x:c>
      <x:c r="F25" s="16" t="str">
        <x:v>P1</x:v>
      </x:c>
      <x:c r="G25" s="17"/>
      <x:c r="H25" s="17"/>
      <x:c r="I25" s="17"/>
      <x:c r="J25" s="16" t="str">
        <x:v>字段冻结后选择</x:v>
      </x:c>
      <x:c r="K25" s="16" t="str">
        <x:v>试验对象清单</x:v>
      </x:c>
      <x:c r="L25" s="16"/>
    </x:row>
    <x:row r="26">
      <x:c r="A26" s="16" t="str">
        <x:v>S4-02</x:v>
      </x:c>
      <x:c r="B26" s="16" t="str">
        <x:v>阶段四：小型样例</x:v>
      </x:c>
      <x:c r="C26" s="16" t="str">
        <x:v>制作3组尺度比较和3条功能规则</x:v>
      </x:c>
      <x:c r="D26" s="16" t="str">
        <x:v>我</x:v>
      </x:c>
      <x:c r="E26" s="16" t="str">
        <x:v>尚未开始</x:v>
      </x:c>
      <x:c r="F26" s="16" t="str">
        <x:v>P1</x:v>
      </x:c>
      <x:c r="G26" s="17"/>
      <x:c r="H26" s="17"/>
      <x:c r="I26" s="17"/>
      <x:c r="J26" s="16" t="str">
        <x:v>使用可追溯证据</x:v>
      </x:c>
      <x:c r="K26" s="16" t="str">
        <x:v>样例记录</x:v>
      </x:c>
      <x:c r="L26" s="16"/>
    </x:row>
    <x:row r="27">
      <x:c r="A27" s="16" t="str">
        <x:v>S4-03</x:v>
      </x:c>
      <x:c r="B27" s="16" t="str">
        <x:v>阶段四：小型样例</x:v>
      </x:c>
      <x:c r="C27" s="16" t="str">
        <x:v>完成六张样例表</x:v>
      </x:c>
      <x:c r="D27" s="16" t="str">
        <x:v>共同</x:v>
      </x:c>
      <x:c r="E27" s="16" t="str">
        <x:v>尚未开始</x:v>
      </x:c>
      <x:c r="F27" s="16" t="str">
        <x:v>P1</x:v>
      </x:c>
      <x:c r="G27" s="17"/>
      <x:c r="H27" s="17"/>
      <x:c r="I27" s="17"/>
      <x:c r="J27" s="16" t="str">
        <x:v>分工录入</x:v>
      </x:c>
      <x:c r="K27" s="16" t="str">
        <x:v>小型样例数据集</x:v>
      </x:c>
      <x:c r="L27" s="16"/>
    </x:row>
    <x:row r="28">
      <x:c r="A28" s="16" t="str">
        <x:v>S4-04</x:v>
      </x:c>
      <x:c r="B28" s="16" t="str">
        <x:v>阶段四：小型样例</x:v>
      </x:c>
      <x:c r="C28" s="16" t="str">
        <x:v>审核编号、来源、单位、坐标和推导</x:v>
      </x:c>
      <x:c r="D28" s="16" t="str">
        <x:v>共同</x:v>
      </x:c>
      <x:c r="E28" s="16" t="str">
        <x:v>尚未开始</x:v>
      </x:c>
      <x:c r="F28" s="16" t="str">
        <x:v>P0</x:v>
      </x:c>
      <x:c r="G28" s="17"/>
      <x:c r="H28" s="17"/>
      <x:c r="I28" s="17"/>
      <x:c r="J28" s="16" t="str">
        <x:v>逐条审核</x:v>
      </x:c>
      <x:c r="K28" s="16" t="str">
        <x:v>样例审核记录</x:v>
      </x:c>
      <x:c r="L28" s="16"/>
    </x:row>
    <x:row r="29">
      <x:c r="A29" s="16" t="str">
        <x:v>S5-01</x:v>
      </x:c>
      <x:c r="B29" s="16" t="str">
        <x:v>阶段五：Skill升级</x:v>
      </x:c>
      <x:c r="C29" s="16" t="str">
        <x:v>升级提取Skill支持六张专题表</x:v>
      </x:c>
      <x:c r="D29" s="16" t="str">
        <x:v>Codex</x:v>
      </x:c>
      <x:c r="E29" s="16" t="str">
        <x:v>尚未开始</x:v>
      </x:c>
      <x:c r="F29" s="16" t="str">
        <x:v>P1</x:v>
      </x:c>
      <x:c r="G29" s="17"/>
      <x:c r="H29" s="17"/>
      <x:c r="I29" s="17"/>
      <x:c r="J29" s="16" t="str">
        <x:v>样例通过后升级</x:v>
      </x:c>
      <x:c r="K29" s="16" t="str">
        <x:v>knowledge-graph-extraction v2</x:v>
      </x:c>
      <x:c r="L29" s="16"/>
    </x:row>
    <x:row r="30">
      <x:c r="A30" s="16" t="str">
        <x:v>S5-02</x:v>
      </x:c>
      <x:c r="B30" s="16" t="str">
        <x:v>阶段五：Skill升级</x:v>
      </x:c>
      <x:c r="C30" s="16" t="str">
        <x:v>加入定量、单位、坐标和规则提取规范</x:v>
      </x:c>
      <x:c r="D30" s="16" t="str">
        <x:v>Codex</x:v>
      </x:c>
      <x:c r="E30" s="16" t="str">
        <x:v>尚未开始</x:v>
      </x:c>
      <x:c r="F30" s="16" t="str">
        <x:v>P1</x:v>
      </x:c>
      <x:c r="G30" s="17"/>
      <x:c r="H30" s="17"/>
      <x:c r="I30" s="17"/>
      <x:c r="J30" s="16" t="str">
        <x:v>与字段规范一致</x:v>
      </x:c>
      <x:c r="K30" s="16" t="str">
        <x:v>提取规范v2</x:v>
      </x:c>
      <x:c r="L30" s="16"/>
    </x:row>
    <x:row r="31">
      <x:c r="A31" s="16" t="str">
        <x:v>S5-03</x:v>
      </x:c>
      <x:c r="B31" s="16" t="str">
        <x:v>阶段五：Skill升级</x:v>
      </x:c>
      <x:c r="C31" s="16" t="str">
        <x:v>使用小型样例测试Skill</x:v>
      </x:c>
      <x:c r="D31" s="16" t="str">
        <x:v>共同</x:v>
      </x:c>
      <x:c r="E31" s="16" t="str">
        <x:v>尚未开始</x:v>
      </x:c>
      <x:c r="F31" s="16" t="str">
        <x:v>P1</x:v>
      </x:c>
      <x:c r="G31" s="17"/>
      <x:c r="H31" s="17"/>
      <x:c r="I31" s="17"/>
      <x:c r="J31" s="16" t="str">
        <x:v>比较人工审核结果</x:v>
      </x:c>
      <x:c r="K31" s="16" t="str">
        <x:v>测试报告</x:v>
      </x:c>
      <x:c r="L31" s="16"/>
    </x:row>
    <x:row r="32">
      <x:c r="A32" s="16" t="str">
        <x:v>S6-01</x:v>
      </x:c>
      <x:c r="B32" s="16" t="str">
        <x:v>阶段六：平台迁移</x:v>
      </x:c>
      <x:c r="C32" s="16" t="str">
        <x:v>清理新平台青瓷模拟数据和文案</x:v>
      </x:c>
      <x:c r="D32" s="16" t="str">
        <x:v>Codex</x:v>
      </x:c>
      <x:c r="E32" s="16" t="str">
        <x:v>尚未开始</x:v>
      </x:c>
      <x:c r="F32" s="16" t="str">
        <x:v>P1</x:v>
      </x:c>
      <x:c r="G32" s="17"/>
      <x:c r="H32" s="17"/>
      <x:c r="I32" s="17"/>
      <x:c r="J32" s="16" t="str">
        <x:v>保留通用技术架构</x:v>
      </x:c>
      <x:c r="K32" s="16" t="str">
        <x:v>唐长安城平台基线</x:v>
      </x:c>
      <x:c r="L32" s="16"/>
    </x:row>
    <x:row r="33">
      <x:c r="A33" s="16" t="str">
        <x:v>S6-02</x:v>
      </x:c>
      <x:c r="B33" s="16" t="str">
        <x:v>阶段六：平台迁移</x:v>
      </x:c>
      <x:c r="C33" s="16" t="str">
        <x:v>更新唐长安城实体与关系Schema</x:v>
      </x:c>
      <x:c r="D33" s="16" t="str">
        <x:v>Codex</x:v>
      </x:c>
      <x:c r="E33" s="16" t="str">
        <x:v>尚未开始</x:v>
      </x:c>
      <x:c r="F33" s="16" t="str">
        <x:v>P1</x:v>
      </x:c>
      <x:c r="G33" s="17"/>
      <x:c r="H33" s="17"/>
      <x:c r="I33" s="17"/>
      <x:c r="J33" s="16" t="str">
        <x:v>依据字段规范</x:v>
      </x:c>
      <x:c r="K33" s="16" t="str">
        <x:v>JSON Schema</x:v>
      </x:c>
      <x:c r="L33" s="16"/>
    </x:row>
    <x:row r="34">
      <x:c r="A34" s="16" t="str">
        <x:v>S6-03</x:v>
      </x:c>
      <x:c r="B34" s="16" t="str">
        <x:v>阶段六：平台迁移</x:v>
      </x:c>
      <x:c r="C34" s="16" t="str">
        <x:v>编写六张专题表到实体/关系转换脚本</x:v>
      </x:c>
      <x:c r="D34" s="16" t="str">
        <x:v>Codex</x:v>
      </x:c>
      <x:c r="E34" s="16" t="str">
        <x:v>尚未开始</x:v>
      </x:c>
      <x:c r="F34" s="16" t="str">
        <x:v>P0</x:v>
      </x:c>
      <x:c r="G34" s="17"/>
      <x:c r="H34" s="17"/>
      <x:c r="I34" s="17"/>
      <x:c r="J34" s="16" t="str">
        <x:v>先支持小型样例</x:v>
      </x:c>
      <x:c r="K34" s="16" t="str">
        <x:v>转换脚本</x:v>
      </x:c>
      <x:c r="L34" s="16"/>
    </x:row>
    <x:row r="35">
      <x:c r="A35" s="16" t="str">
        <x:v>S6-04</x:v>
      </x:c>
      <x:c r="B35" s="16" t="str">
        <x:v>阶段六：平台迁移</x:v>
      </x:c>
      <x:c r="C35" s="16" t="str">
        <x:v>导入样例并验证检索、图谱和AI问答</x:v>
      </x:c>
      <x:c r="D35" s="16" t="str">
        <x:v>共同</x:v>
      </x:c>
      <x:c r="E35" s="16" t="str">
        <x:v>尚未开始</x:v>
      </x:c>
      <x:c r="F35" s="16" t="str">
        <x:v>P0</x:v>
      </x:c>
      <x:c r="G35" s="17"/>
      <x:c r="H35" s="17"/>
      <x:c r="I35" s="17"/>
      <x:c r="J35" s="16" t="str">
        <x:v>逐项验收</x:v>
      </x:c>
      <x:c r="K35" s="16" t="str">
        <x:v>平台样例验收报告</x:v>
      </x:c>
      <x:c r="L35" s="16"/>
    </x:row>
    <x:row r="36">
      <x:c r="A36" s="16" t="str">
        <x:v>S7-01</x:v>
      </x:c>
      <x:c r="B36" s="16" t="str">
        <x:v>阶段七：全量提取</x:v>
      </x:c>
      <x:c r="C36" s="16" t="str">
        <x:v>完成108坊功能数据</x:v>
      </x:c>
      <x:c r="D36" s="16" t="str">
        <x:v>同事</x:v>
      </x:c>
      <x:c r="E36" s="16" t="str">
        <x:v>尚未开始</x:v>
      </x:c>
      <x:c r="F36" s="16" t="str">
        <x:v>P1</x:v>
      </x:c>
      <x:c r="G36" s="17"/>
      <x:c r="H36" s="17"/>
      <x:c r="I36" s="17"/>
      <x:c r="J36" s="16" t="str">
        <x:v>小样例通过后分批提取</x:v>
      </x:c>
      <x:c r="K36" s="16" t="str">
        <x:v>坊功能全量表</x:v>
      </x:c>
      <x:c r="L36" s="16"/>
    </x:row>
    <x:row r="37">
      <x:c r="A37" s="16" t="str">
        <x:v>S7-02</x:v>
      </x:c>
      <x:c r="B37" s="16" t="str">
        <x:v>阶段七：全量提取</x:v>
      </x:c>
      <x:c r="C37" s="16" t="str">
        <x:v>完成道路分级数据</x:v>
      </x:c>
      <x:c r="D37" s="16" t="str">
        <x:v>同事</x:v>
      </x:c>
      <x:c r="E37" s="16" t="str">
        <x:v>尚未开始</x:v>
      </x:c>
      <x:c r="F37" s="16" t="str">
        <x:v>P1</x:v>
      </x:c>
      <x:c r="G37" s="17"/>
      <x:c r="H37" s="17"/>
      <x:c r="I37" s="17"/>
      <x:c r="J37" s="16" t="str">
        <x:v>分批提取与审核</x:v>
      </x:c>
      <x:c r="K37" s="16" t="str">
        <x:v>道路全量表</x:v>
      </x:c>
      <x:c r="L37" s="16"/>
    </x:row>
    <x:row r="38">
      <x:c r="A38" s="16" t="str">
        <x:v>S7-03</x:v>
      </x:c>
      <x:c r="B38" s="16" t="str">
        <x:v>阶段七：全量提取</x:v>
      </x:c>
      <x:c r="C38" s="16" t="str">
        <x:v>完成水渠数据</x:v>
      </x:c>
      <x:c r="D38" s="16" t="str">
        <x:v>同事</x:v>
      </x:c>
      <x:c r="E38" s="16" t="str">
        <x:v>尚未开始</x:v>
      </x:c>
      <x:c r="F38" s="16" t="str">
        <x:v>P1</x:v>
      </x:c>
      <x:c r="G38" s="17"/>
      <x:c r="H38" s="17"/>
      <x:c r="I38" s="17"/>
      <x:c r="J38" s="16" t="str">
        <x:v>分批提取与审核</x:v>
      </x:c>
      <x:c r="K38" s="16" t="str">
        <x:v>水渠全量表</x:v>
      </x:c>
      <x:c r="L38" s="16"/>
    </x:row>
    <x:row r="39">
      <x:c r="A39" s="16" t="str">
        <x:v>S7-04</x:v>
      </x:c>
      <x:c r="B39" s="16" t="str">
        <x:v>阶段七：全量提取</x:v>
      </x:c>
      <x:c r="C39" s="16" t="str">
        <x:v>完成城门数据</x:v>
      </x:c>
      <x:c r="D39" s="16" t="str">
        <x:v>我</x:v>
      </x:c>
      <x:c r="E39" s="16" t="str">
        <x:v>尚未开始</x:v>
      </x:c>
      <x:c r="F39" s="16" t="str">
        <x:v>P1</x:v>
      </x:c>
      <x:c r="G39" s="17"/>
      <x:c r="H39" s="17"/>
      <x:c r="I39" s="17"/>
      <x:c r="J39" s="16" t="str">
        <x:v>严格区分城门与内门</x:v>
      </x:c>
      <x:c r="K39" s="16" t="str">
        <x:v>城门全量表</x:v>
      </x:c>
      <x:c r="L39" s="16"/>
    </x:row>
    <x:row r="40">
      <x:c r="A40" s="16" t="str">
        <x:v>S7-05</x:v>
      </x:c>
      <x:c r="B40" s="16" t="str">
        <x:v>阶段七：全量提取</x:v>
      </x:c>
      <x:c r="C40" s="16" t="str">
        <x:v>完成尺度关系数据</x:v>
      </x:c>
      <x:c r="D40" s="16" t="str">
        <x:v>我</x:v>
      </x:c>
      <x:c r="E40" s="16" t="str">
        <x:v>尚未开始</x:v>
      </x:c>
      <x:c r="F40" s="16" t="str">
        <x:v>P1</x:v>
      </x:c>
      <x:c r="G40" s="17"/>
      <x:c r="H40" s="17"/>
      <x:c r="I40" s="17"/>
      <x:c r="J40" s="16" t="str">
        <x:v>全部公式人工复核</x:v>
      </x:c>
      <x:c r="K40" s="16" t="str">
        <x:v>尺度关系全量表</x:v>
      </x:c>
      <x:c r="L40" s="16"/>
    </x:row>
    <x:row r="41">
      <x:c r="A41" s="16" t="str">
        <x:v>S7-06</x:v>
      </x:c>
      <x:c r="B41" s="16" t="str">
        <x:v>阶段七：全量提取</x:v>
      </x:c>
      <x:c r="C41" s="16" t="str">
        <x:v>完成功能分区规则</x:v>
      </x:c>
      <x:c r="D41" s="16" t="str">
        <x:v>我</x:v>
      </x:c>
      <x:c r="E41" s="16" t="str">
        <x:v>尚未开始</x:v>
      </x:c>
      <x:c r="F41" s="16" t="str">
        <x:v>P1</x:v>
      </x:c>
      <x:c r="G41" s="17"/>
      <x:c r="H41" s="17"/>
      <x:c r="I41" s="17"/>
      <x:c r="J41" s="16" t="str">
        <x:v>必须检索反例</x:v>
      </x:c>
      <x:c r="K41" s="16" t="str">
        <x:v>规则全量表</x:v>
      </x:c>
      <x:c r="L41" s="16"/>
    </x:row>
    <x:row r="42">
      <x:c r="A42" s="16" t="str">
        <x:v>S8-01</x:v>
      </x:c>
      <x:c r="B42" s="16" t="str">
        <x:v>阶段八：质量检查</x:v>
      </x:c>
      <x:c r="C42" s="16" t="str">
        <x:v>完成数据完整性、历史语义和数值检查</x:v>
      </x:c>
      <x:c r="D42" s="16" t="str">
        <x:v>共同</x:v>
      </x:c>
      <x:c r="E42" s="16" t="str">
        <x:v>尚未开始</x:v>
      </x:c>
      <x:c r="F42" s="16" t="str">
        <x:v>P0</x:v>
      </x:c>
      <x:c r="G42" s="17"/>
      <x:c r="H42" s="17"/>
      <x:c r="I42" s="17"/>
      <x:c r="J42" s="16" t="str">
        <x:v>全量导入前完成</x:v>
      </x:c>
      <x:c r="K42" s="16" t="str">
        <x:v>质量报告</x:v>
      </x:c>
      <x:c r="L42" s="16"/>
    </x:row>
    <x:row r="43">
      <x:c r="A43" s="16" t="str">
        <x:v>S8-02</x:v>
      </x:c>
      <x:c r="B43" s="16" t="str">
        <x:v>阶段八：质量检查</x:v>
      </x:c>
      <x:c r="C43" s="16" t="str">
        <x:v>完成系统测试与重复导入测试</x:v>
      </x:c>
      <x:c r="D43" s="16" t="str">
        <x:v>Codex</x:v>
      </x:c>
      <x:c r="E43" s="16" t="str">
        <x:v>尚未开始</x:v>
      </x:c>
      <x:c r="F43" s="16" t="str">
        <x:v>P0</x:v>
      </x:c>
      <x:c r="G43" s="17"/>
      <x:c r="H43" s="17"/>
      <x:c r="I43" s="17"/>
      <x:c r="J43" s="16" t="str">
        <x:v>发布前完成</x:v>
      </x:c>
      <x:c r="K43" s="16" t="str">
        <x:v>系统测试报告</x:v>
      </x:c>
      <x:c r="L43" s="16"/>
    </x:row>
    <x:row r="44">
      <x:c r="A44" s="16" t="str">
        <x:v>S9-01</x:v>
      </x:c>
      <x:c r="B44" s="16" t="str">
        <x:v>阶段九：发布交付</x:v>
      </x:c>
      <x:c r="C44" s="16" t="str">
        <x:v>冻结第一版数据并生成文档</x:v>
      </x:c>
      <x:c r="D44" s="16" t="str">
        <x:v>共同</x:v>
      </x:c>
      <x:c r="E44" s="16" t="str">
        <x:v>尚未开始</x:v>
      </x:c>
      <x:c r="F44" s="16" t="str">
        <x:v>P0</x:v>
      </x:c>
      <x:c r="G44" s="17"/>
      <x:c r="H44" s="17"/>
      <x:c r="I44" s="17"/>
      <x:c r="J44" s="16" t="str">
        <x:v>完成最终审核</x:v>
      </x:c>
      <x:c r="K44" s="16" t="str">
        <x:v>tang_changan_v1</x:v>
      </x:c>
      <x:c r="L44" s="16"/>
    </x:row>
    <x:row r="45">
      <x:c r="A45" s="16" t="str">
        <x:v>S9-02</x:v>
      </x:c>
      <x:c r="B45" s="16" t="str">
        <x:v>阶段九：发布交付</x:v>
      </x:c>
      <x:c r="C45" s="16" t="str">
        <x:v>发布v1并建立Git标签v1.0.0</x:v>
      </x:c>
      <x:c r="D45" s="16" t="str">
        <x:v>共同</x:v>
      </x:c>
      <x:c r="E45" s="16" t="str">
        <x:v>尚未开始</x:v>
      </x:c>
      <x:c r="F45" s="16" t="str">
        <x:v>P0</x:v>
      </x:c>
      <x:c r="G45" s="17"/>
      <x:c r="H45" s="17"/>
      <x:c r="I45" s="17"/>
      <x:c r="J45" s="16" t="str">
        <x:v>检查权限与版权</x:v>
      </x:c>
      <x:c r="K45" s="16" t="str">
        <x:v>正式发布</x:v>
      </x:c>
      <x:c r="L45" s="16"/>
    </x:row>
  </x:sheetData>
  <x:mergeCells>
    <x:mergeCell ref="A1:L1"/>
    <x:mergeCell ref="A2:L2"/>
  </x:mergeCells>
  <x:conditionalFormatting sqref="E4:E45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等待确认"/>
    <x:cfRule type="containsText" dxfId="3" priority="4" operator="containsText" text="遇到问题"/>
    <x:cfRule type="containsText" dxfId="4" priority="5" operator="containsText" text="尚未开始"/>
  </x:conditionalFormatting>
  <x:dataValidations count="3">
    <x:dataValidation type="list" sqref="D4:D45">
      <x:formula1>"我,同事,共同,Codex,待分配"</x:formula1>
    </x:dataValidation>
    <x:dataValidation type="list" sqref="E4:E45">
      <x:formula1>"已完成,进行中,等待确认,遇到问题,尚未开始"</x:formula1>
    </x:dataValidation>
    <x:dataValidation type="list" sqref="F4:F45">
      <x:formula1>"P0,P1,P2,P3"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28" hidden="0" customWidth="1"/>
    <x:col min="7" max="7" width="38" hidden="0" customWidth="1"/>
    <x:col min="8" max="8" width="30" hidden="0" customWidth="1"/>
  </x:cols>
  <x:sheetData>
    <x:row r="1" ht="34" customHeight="1">
      <x:c r="A1" s="3" t="str">
        <x:v>唐长安城知识图谱 · 里程碑</x:v>
      </x:c>
      <x:c r="B1" s="3"/>
      <x:c r="C1" s="3"/>
      <x:c r="D1" s="3"/>
      <x:c r="E1" s="3"/>
      <x:c r="F1" s="3"/>
      <x:c r="G1" s="3"/>
      <x:c r="H1" s="3"/>
    </x:row>
    <x:row r="3" ht="30" customHeight="1">
      <x:c r="A3" s="12" t="str">
        <x:v>里程碑</x:v>
      </x:c>
      <x:c r="B3" s="12" t="str">
        <x:v>目标日期</x:v>
      </x:c>
      <x:c r="C3" s="12" t="str">
        <x:v>负责人</x:v>
      </x:c>
      <x:c r="D3" s="12" t="str">
        <x:v>状态</x:v>
      </x:c>
      <x:c r="E3" s="12" t="str">
        <x:v>完成日期</x:v>
      </x:c>
      <x:c r="F3" s="12" t="str">
        <x:v>Git/文件证据</x:v>
      </x:c>
      <x:c r="G3" s="12" t="str">
        <x:v>验收标准</x:v>
      </x:c>
      <x:c r="H3" s="12" t="str">
        <x:v>下一步</x:v>
      </x:c>
    </x:row>
    <x:row r="4">
      <x:c r="A4" s="207" t="str">
        <x:v>建立版本管理基线</x:v>
      </x:c>
      <x:c r="B4" s="207" t="str">
        <x:v>2026-08-07</x:v>
      </x:c>
      <x:c r="C4" s="207" t="str">
        <x:v>Codex</x:v>
      </x:c>
      <x:c r="D4" s="207" t="str">
        <x:v>已完成</x:v>
      </x:c>
      <x:c r="E4" s="207" t="str">
        <x:v>2026-08-07</x:v>
      </x:c>
      <x:c r="F4" s="207" t="str">
        <x:v>6977c62 / 2d6f9f7</x:v>
      </x:c>
      <x:c r="G4" s="207" t="str">
        <x:v>两个仓库工作区干净</x:v>
      </x:c>
      <x:c r="H4" s="207" t="str">
        <x:v>维护Git提交</x:v>
      </x:c>
    </x:row>
    <x:row r="5">
      <x:c r="A5" s="207" t="str">
        <x:v>六张表字段规范v1</x:v>
      </x:c>
      <x:c r="B5" s="207" t="str">
        <x:v>2026-08-15</x:v>
      </x:c>
      <x:c r="C5" s="207" t="str">
        <x:v>共同</x:v>
      </x:c>
      <x:c r="D5" s="207" t="str">
        <x:v>进行中</x:v>
      </x:c>
      <x:c r="E5" s="207" t="str"/>
      <x:c r="F5" s="207" t="str">
        <x:v>阶段二v1模板 / 656647b</x:v>
      </x:c>
      <x:c r="G5" s="207" t="str">
        <x:v>六张表联合评审通过</x:v>
      </x:c>
      <x:c r="H5" s="207" t="str">
        <x:v>完成字段评审</x:v>
      </x:c>
    </x:row>
    <x:row r="6">
      <x:c r="A6" s="207" t="str">
        <x:v>小型样例通过审核</x:v>
      </x:c>
      <x:c r="B6" s="207" t="str"/>
      <x:c r="C6" s="207" t="str">
        <x:v>共同</x:v>
      </x:c>
      <x:c r="D6" s="207" t="str">
        <x:v>尚未开始</x:v>
      </x:c>
      <x:c r="E6" s="207" t="str"/>
      <x:c r="F6" s="207" t="str"/>
      <x:c r="G6" s="207" t="str">
        <x:v>5坊、3道路、2水渠、5城门等样例通过</x:v>
      </x:c>
      <x:c r="H6" s="207" t="str">
        <x:v>字段冻结后开始</x:v>
      </x:c>
    </x:row>
    <x:row r="7">
      <x:c r="A7" s="207" t="str">
        <x:v>提取Skill v2完成</x:v>
      </x:c>
      <x:c r="B7" s="207" t="str"/>
      <x:c r="C7" s="207" t="str">
        <x:v>Codex</x:v>
      </x:c>
      <x:c r="D7" s="207" t="str">
        <x:v>尚未开始</x:v>
      </x:c>
      <x:c r="E7" s="207" t="str"/>
      <x:c r="F7" s="207" t="str"/>
      <x:c r="G7" s="207" t="str">
        <x:v>能输出六张专题表并通过样例测试</x:v>
      </x:c>
      <x:c r="H7" s="207" t="str">
        <x:v>小样例通过后升级</x:v>
      </x:c>
    </x:row>
    <x:row r="8">
      <x:c r="A8" s="207" t="str">
        <x:v>平台样例导入完成</x:v>
      </x:c>
      <x:c r="B8" s="207" t="str"/>
      <x:c r="C8" s="207" t="str">
        <x:v>共同</x:v>
      </x:c>
      <x:c r="D8" s="207" t="str">
        <x:v>尚未开始</x:v>
      </x:c>
      <x:c r="E8" s="207" t="str"/>
      <x:c r="F8" s="207" t="str"/>
      <x:c r="G8" s="207" t="str">
        <x:v>检索、图谱、证据和AI问答通过</x:v>
      </x:c>
      <x:c r="H8" s="207" t="str">
        <x:v>编写转换脚本</x:v>
      </x:c>
    </x:row>
    <x:row r="9">
      <x:c r="A9" s="207" t="str">
        <x:v>六张专题表全量完成</x:v>
      </x:c>
      <x:c r="B9" s="207" t="str"/>
      <x:c r="C9" s="207" t="str">
        <x:v>共同</x:v>
      </x:c>
      <x:c r="D9" s="207" t="str">
        <x:v>尚未开始</x:v>
      </x:c>
      <x:c r="E9" s="207" t="str"/>
      <x:c r="F9" s="207" t="str"/>
      <x:c r="G9" s="207" t="str">
        <x:v>全部记录通过质量检查</x:v>
      </x:c>
      <x:c r="H9" s="207" t="str">
        <x:v>分批提取审核</x:v>
      </x:c>
    </x:row>
    <x:row r="10">
      <x:c r="A10" s="207" t="str">
        <x:v>唐长安城知识库v1发布</x:v>
      </x:c>
      <x:c r="B10" s="207" t="str"/>
      <x:c r="C10" s="207" t="str">
        <x:v>共同</x:v>
      </x:c>
      <x:c r="D10" s="207" t="str">
        <x:v>尚未开始</x:v>
      </x:c>
      <x:c r="E10" s="207" t="str"/>
      <x:c r="F10" s="207" t="str"/>
      <x:c r="G10" s="207" t="str">
        <x:v>数据、系统、文档和权限验收通过</x:v>
      </x:c>
      <x:c r="H10" s="207" t="str">
        <x:v>建立Git标签v1.0.0</x:v>
      </x:c>
    </x:row>
  </x:sheetData>
  <x:mergeCells>
    <x:mergeCell ref="A1:H1"/>
  </x:mergeCells>
  <x:conditionalFormatting sqref="D4:D10">
    <x:cfRule type="containsText" dxfId="5" priority="1" operator="containsText" text="已完成"/>
    <x:cfRule type="containsText" dxfId="6" priority="2" operator="containsText" text="进行中"/>
    <x:cfRule type="containsText" dxfId="7" priority="3" operator="containsText" text="等待确认"/>
    <x:cfRule type="containsText" dxfId="8" priority="4" operator="containsText" text="遇到问题"/>
    <x:cfRule type="containsText" dxfId="9" priority="5" operator="containsText" text="尚未开始"/>
  </x:conditionalFormatting>
  <x:dataValidations count="1">
    <x:dataValidation type="list" sqref="D4:D10">
      <x:formula1>"已完成,进行中,等待确认,遇到问题,尚未开始"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36" hidden="0" customWidth="1"/>
    <x:col min="5" max="5" width="36" hidden="0" customWidth="1"/>
    <x:col min="6" max="6" width="30" hidden="0" customWidth="1"/>
  </x:cols>
  <x:sheetData>
    <x:row r="1" ht="34" customHeight="1">
      <x:c r="A1" s="3" t="str">
        <x:v>唐长安城知识图谱 · 更新日志</x:v>
      </x:c>
      <x:c r="B1" s="3"/>
      <x:c r="C1" s="3"/>
      <x:c r="D1" s="3"/>
      <x:c r="E1" s="3"/>
      <x:c r="F1" s="3"/>
    </x:row>
    <x:row r="2" ht="28" customHeight="1">
      <x:c r="A2" s="5" t="str">
        <x:v>每次工作结束只增加一行。即使隔很久再回来，也可以从最上方的新记录快速恢复记忆。</x:v>
      </x:c>
      <x:c r="B2" s="5"/>
      <x:c r="C2" s="5"/>
      <x:c r="D2" s="5"/>
      <x:c r="E2" s="5"/>
      <x:c r="F2" s="5"/>
    </x:row>
    <x:row r="3" ht="30" customHeight="1">
      <x:c r="A3" s="12" t="str">
        <x:v>日期</x:v>
      </x:c>
      <x:c r="B3" s="12" t="str">
        <x:v>更新人</x:v>
      </x:c>
      <x:c r="C3" s="12" t="str">
        <x:v>完成内容</x:v>
      </x:c>
      <x:c r="D3" s="12" t="str">
        <x:v>Git提交/文件</x:v>
      </x:c>
      <x:c r="E3" s="12" t="str">
        <x:v>下一步</x:v>
      </x:c>
      <x:c r="F3" s="12" t="str">
        <x:v>备注</x:v>
      </x:c>
    </x:row>
    <x:row r="4">
      <x:c r="A4" s="207" t="str">
        <x:v>2026-08-07</x:v>
      </x:c>
      <x:c r="B4" s="207" t="str">
        <x:v>Codex</x:v>
      </x:c>
      <x:c r="C4" s="207" t="str">
        <x:v>建立文献提取工程Git仓库</x:v>
      </x:c>
      <x:c r="D4" s="207" t="str">
        <x:v>6977c62</x:v>
      </x:c>
      <x:c r="E4" s="207" t="str">
        <x:v>复制并建立新平台仓库</x:v>
      </x:c>
      <x:c r="F4" s="207" t="str"/>
    </x:row>
    <x:row r="5">
      <x:c r="A5" s="207" t="str">
        <x:v>2026-08-07</x:v>
      </x:c>
      <x:c r="B5" s="207" t="str">
        <x:v>Codex</x:v>
      </x:c>
      <x:c r="C5" s="207" t="str">
        <x:v>从青瓷库复制唐长安城平台技术基线</x:v>
      </x:c>
      <x:c r="D5" s="207" t="str">
        <x:v>2d6f9f7</x:v>
      </x:c>
      <x:c r="E5" s="207" t="str">
        <x:v>确定六张核心表字段</x:v>
      </x:c>
      <x:c r="F5" s="207" t="str">
        <x:v>未复制.env</x:v>
      </x:c>
    </x:row>
    <x:row r="6">
      <x:c r="A6" s="207" t="str">
        <x:v>2026-08-07</x:v>
      </x:c>
      <x:c r="B6" s="207" t="str">
        <x:v>Codex</x:v>
      </x:c>
      <x:c r="C6" s="207" t="str">
        <x:v>完成阶段二v1录入模板，共12张工作表</x:v>
      </x:c>
      <x:c r="D6" s="207" t="str">
        <x:v>656647b / 唐长安城知识图谱录入模板_阶段二_v1.xlsx</x:v>
      </x:c>
      <x:c r="E6" s="207" t="str">
        <x:v>组织六张表字段联合评审</x:v>
      </x:c>
      <x:c r="F6" s="207" t="str"/>
    </x:row>
    <x:row r="7">
      <x:c r="A7" s="207" t="str">
        <x:v>2026-08-07</x:v>
      </x:c>
      <x:c r="B7" s="207" t="str">
        <x:v>Codex</x:v>
      </x:c>
      <x:c r="C7" s="207" t="str">
        <x:v>建立项目进度看板</x:v>
      </x:c>
      <x:c r="D7" s="207" t="str">
        <x:v>本文件</x:v>
      </x:c>
      <x:c r="E7" s="207" t="str">
        <x:v>审核城门、尺度、功能规则字段</x:v>
      </x:c>
      <x:c r="F7" s="207" t="str">
        <x:v>以后每次工作后更新本表</x:v>
      </x:c>
    </x:row>
    <x:row r="8">
      <x:c r="A8" s="212" t="str">
        <x:v>2026-08-07</x:v>
      </x:c>
      <x:c r="B8" s="213" t="str">
        <x:v>Codex</x:v>
      </x:c>
      <x:c r="C8" s="213" t="str">
        <x:v>新增坊间空间关系表与专题表转换规则v1；确认后三张字段</x:v>
      </x:c>
      <x:c r="D8" s="213" t="str">
        <x:v>阶段二v1模板</x:v>
      </x:c>
      <x:c r="E8" s="213" t="str">
        <x:v>同事确认前三张表并召开联合评审</x:v>
      </x:c>
      <x:c r="F8" s="214" t="str">
        <x:v>六张核心表不变，新增两张辅助表</x:v>
      </x:c>
    </x:row>
    <x:row r="9">
      <x:c r="A9" s="212" t="str">
        <x:v>2026-08-07</x:v>
      </x:c>
      <x:c r="B9" s="213" t="str">
        <x:v>Codex</x:v>
      </x:c>
      <x:c r="C9" s="213" t="str">
        <x:v>完成小型样例文献初选，确定3份现有主文献、5份建议补充资料及样例对象群</x:v>
      </x:c>
      <x:c r="D9" s="213" t="str">
        <x:v>小型样例文献选择方案_v1.md</x:v>
      </x:c>
      <x:c r="E9" s="213" t="str">
        <x:v>团队确认名单并取得优先考古资料</x:v>
      </x:c>
      <x:c r="F9" s="214" t="str">
        <x:v>尺度与坐标缺口暂不推测</x:v>
      </x:c>
    </x:row>
  </x:sheetData>
  <x:mergeCells>
    <x:mergeCell ref="A1:F1"/>
    <x:mergeCell ref="A2:F2"/>
  </x:mergeCells>
  <x:pageMargins left="0.7" right="0.7" top="0.75" bottom="0.75" header="0.3" footer="0.3"/>
</x:worksheet>
</file>
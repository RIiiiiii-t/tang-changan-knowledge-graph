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dc9011330b44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578b950f7fe14684"/>
    <x:sheet xmlns:r="http://schemas.openxmlformats.org/officeDocument/2006/relationships" name="候选事件池" sheetId="2" r:id="R55f96be6e85d4eea"/>
    <x:sheet xmlns:r="http://schemas.openxmlformats.org/officeDocument/2006/relationships" name="主题覆盖矩阵" sheetId="3" r:id="Red9e527463644b27"/>
    <x:sheet xmlns:r="http://schemas.openxmlformats.org/officeDocument/2006/relationships" name="类型与主题映射" sheetId="4" r:id="R470ff8040c0a4f6e"/>
    <x:sheet xmlns:r="http://schemas.openxmlformats.org/officeDocument/2006/relationships" name="核证日志" sheetId="5" r:id="R6afbda037ed54d10"/>
    <x:sheet xmlns:r="http://schemas.openxmlformats.org/officeDocument/2006/relationships" name="正式事件映射" sheetId="6" r:id="Rc18ce0dcaf444627"/>
    <x:sheet xmlns:r="http://schemas.openxmlformats.org/officeDocument/2006/relationships" name="正式覆盖矩阵" sheetId="7" r:id="R386caae34c554d21"/>
    <x:sheet xmlns:r="http://schemas.openxmlformats.org/officeDocument/2006/relationships" name="专题优先级" sheetId="8" r:id="R5277618785744a88"/>
  </x:sheets>
  <calcPr xmlns="http://schemas.openxmlformats.org/spreadsheetml/2006/main"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0"/>
      <x:color rgb="FFFFFFFF"/>
      <x:name val="Microsoft YaHei"/>
    </x:font>
    <x:font>
      <x:sz val="10"/>
      <x:name val="Microsoft YaHei"/>
    </x:font>
    <x:font>
      <x:b/>
      <x:sz val="10"/>
      <x:color rgb="FF17365D"/>
      <x:name val="Microsoft YaHei"/>
    </x:font>
    <x:font>
      <x:b/>
      <x:sz val="16"/>
      <x:color rgb="FFFFFFFF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3">
    <x:border/>
    <x:border>
      <x:right style="thin">
        <x:color rgb="FFB4C6E7"/>
      </x:right>
    </x:border>
    <x:border>
      <x:left style="thin">
        <x:color rgb="FFB4C6E7"/>
      </x:left>
    </x:border>
    <x:border>
      <x:left style="thin">
        <x:color rgb="FFB4C6E7"/>
      </x:left>
      <x:right style="thin">
        <x:color rgb="FFB4C6E7"/>
      </x:right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</x:borders>
  <x:cellStyleXfs count="1">
    <x:xf numFmtId="0" fontId="0" fillId="0" borderId="0"/>
  </x:cellStyleXfs>
  <x:cellXfs count="7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5" fillId="3" borderId="1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vertical="center" wrapText="1"/>
    </x:xf>
    <x:xf numFmtId="0" fontId="5" fillId="3" borderId="3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1" xfId="0" applyNumberFormat="1" applyFont="1" applyFill="1" applyBorder="1"/>
    <x:xf numFmtId="0" fontId="2" fillId="5" borderId="3" xfId="0" applyNumberFormat="1" applyFont="1" applyFill="1" applyBorder="1"/>
    <x:xf numFmtId="0" fontId="2" fillId="5" borderId="2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2" fillId="5" borderId="3" xfId="0" applyNumberFormat="1" applyFont="1" applyFill="1" applyBorder="1" applyAlignment="1">
      <x:alignment wrapText="1"/>
    </x:xf>
    <x:xf numFmtId="0" fontId="2" fillId="5" borderId="2" xfId="0" applyNumberFormat="1" applyFont="1" applyFill="1" applyBorder="1" applyAlignment="1">
      <x:alignment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vertical="center"/>
    </x:xf>
    <x:xf numFmtId="0" fontId="4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1" xfId="0" applyNumberFormat="1" applyFont="1" applyFill="1" applyBorder="1"/>
    <x:xf numFmtId="0" fontId="5" fillId="7" borderId="3" xfId="0" applyNumberFormat="1" applyFont="1" applyFill="1" applyBorder="1"/>
    <x:xf numFmtId="0" fontId="5" fillId="7" borderId="2" xfId="0" applyNumberFormat="1" applyFont="1" applyFill="1" applyBorder="1"/>
    <x:xf numFmtId="0" fontId="5" fillId="7" borderId="1" xfId="0" applyNumberFormat="1" applyFont="1" applyFill="1" applyBorder="1" applyAlignment="1">
      <x:alignment wrapText="1"/>
    </x:xf>
    <x:xf numFmtId="0" fontId="5" fillId="7" borderId="3" xfId="0" applyNumberFormat="1" applyFont="1" applyFill="1" applyBorder="1" applyAlignment="1">
      <x:alignment wrapText="1"/>
    </x:xf>
    <x:xf numFmtId="0" fontId="5" fillId="7" borderId="2" xfId="0" applyNumberFormat="1" applyFont="1" applyFill="1" applyBorder="1" applyAlignment="1">
      <x:alignment wrapText="1"/>
    </x:xf>
    <x:xf numFmtId="0" fontId="5" fillId="7" borderId="1" xfId="0" applyNumberFormat="1" applyFont="1" applyFill="1" applyBorder="1" applyAlignment="1">
      <x:alignment vertical="center" wrapText="1"/>
    </x:xf>
    <x:xf numFmtId="0" fontId="5" fillId="7" borderId="3" xfId="0" applyNumberFormat="1" applyFont="1" applyFill="1" applyBorder="1" applyAlignment="1">
      <x:alignment vertical="center" wrapText="1"/>
    </x:xf>
    <x:xf numFmtId="0" fontId="5" fillId="7" borderId="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92400E"/>
      </x:font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280a424bd9475d" /><Relationship Type="http://schemas.openxmlformats.org/officeDocument/2006/relationships/theme" Target="/xl/theme/theme1.xml" Id="Rba60173917c84586" /><Relationship Type="http://schemas.openxmlformats.org/officeDocument/2006/relationships/sharedStrings" Target="/xl/sharedStrings.xml" Id="R771893872510488e" /><Relationship Type="http://schemas.openxmlformats.org/officeDocument/2006/relationships/worksheet" Target="/xl/worksheets/sheet1.xml" Id="R578b950f7fe14684" /><Relationship Type="http://schemas.openxmlformats.org/officeDocument/2006/relationships/worksheet" Target="/xl/worksheets/sheet2.xml" Id="R55f96be6e85d4eea" /><Relationship Type="http://schemas.openxmlformats.org/officeDocument/2006/relationships/worksheet" Target="/xl/worksheets/sheet3.xml" Id="Red9e527463644b27" /><Relationship Type="http://schemas.openxmlformats.org/officeDocument/2006/relationships/worksheet" Target="/xl/worksheets/sheet4.xml" Id="R470ff8040c0a4f6e" /><Relationship Type="http://schemas.openxmlformats.org/officeDocument/2006/relationships/worksheet" Target="/xl/worksheets/sheet5.xml" Id="R6afbda037ed54d10" /><Relationship Type="http://schemas.openxmlformats.org/officeDocument/2006/relationships/worksheet" Target="/xl/worksheets/sheet6.xml" Id="Rc18ce0dcaf444627" /><Relationship Type="http://schemas.openxmlformats.org/officeDocument/2006/relationships/worksheet" Target="/xl/worksheets/sheet7.xml" Id="R386caae34c554d21" /><Relationship Type="http://schemas.openxmlformats.org/officeDocument/2006/relationships/worksheet" Target="/xl/worksheets/sheet8.xml" Id="R5277618785744a8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90" hidden="0" customWidth="1"/>
  </x:cols>
  <x:sheetData>
    <x:row r="1">
      <x:c r="A1" s="20" t="str">
        <x:v>唐长安城大事记候选事件与主题覆盖矩阵</x:v>
      </x:c>
      <x:c r="B1" s="20"/>
      <x:c r="C1" s="20"/>
      <x:c r="D1" s="20"/>
      <x:c r="E1" s="20"/>
      <x:c r="F1" s="20"/>
      <x:c r="G1" s="20"/>
      <x:c r="H1" s="20"/>
      <x:c r="I1" s="15"/>
      <x:c r="J1" s="15"/>
      <x:c r="K1" s="15"/>
      <x:c r="L1" s="15"/>
    </x:row>
    <x:row r="2">
      <x:c r="A2" s="16"/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</x:row>
    <x:row r="3">
      <x:c r="A3" s="17" t="str">
        <x:v>项目</x:v>
      </x:c>
      <x:c r="B3" s="18" t="str">
        <x:v>说明</x:v>
      </x:c>
      <x:c r="C3" s="16"/>
      <x:c r="D3" s="16"/>
      <x:c r="E3" s="16"/>
      <x:c r="F3" s="16"/>
      <x:c r="G3" s="16"/>
      <x:c r="H3" s="16"/>
      <x:c r="I3" s="16"/>
      <x:c r="J3" s="16"/>
      <x:c r="K3" s="16"/>
      <x:c r="L3" s="16"/>
    </x:row>
    <x:row r="4">
      <x:c r="A4" s="21" t="str">
        <x:v>用途</x:v>
      </x:c>
      <x:c r="B4" s="21" t="str">
        <x:v>检查30—50条最终时间轴是否覆盖重要历史阶段、城市系统和居民生活主题。</x:v>
      </x:c>
      <x:c r="C4" s="16"/>
      <x:c r="D4" s="16"/>
      <x:c r="E4" s="16"/>
      <x:c r="F4" s="16"/>
      <x:c r="G4" s="16"/>
      <x:c r="H4" s="16"/>
      <x:c r="I4" s="16"/>
      <x:c r="J4" s="16"/>
      <x:c r="K4" s="16"/>
      <x:c r="L4" s="16"/>
    </x:row>
    <x:row r="5">
      <x:c r="A5" s="21" t="str">
        <x:v>核心原则</x:v>
      </x:c>
      <x:c r="B5" s="21" t="str">
        <x:v>event_type是唯一主类型；coverage_theme允许一条事件关联多个主题。</x:v>
      </x:c>
      <x:c r="C5" s="16"/>
      <x:c r="D5" s="16"/>
      <x:c r="E5" s="16"/>
      <x:c r="F5" s="16"/>
      <x:c r="G5" s="16"/>
      <x:c r="H5" s="16"/>
      <x:c r="I5" s="16"/>
      <x:c r="J5" s="16"/>
      <x:c r="K5" s="16"/>
      <x:c r="L5" s="16"/>
    </x:row>
    <x:row r="6">
      <x:c r="A6" s="21" t="str">
        <x:v>候选≠事实</x:v>
      </x:c>
      <x:c r="B6" s="21" t="str">
        <x:v>“核心候选/补充候选/背景候选”均须完成核年和证据审核后才能录入正式大事记表。</x:v>
      </x:c>
      <x:c r="C6" s="16"/>
      <x:c r="D6" s="16"/>
      <x:c r="E6" s="16"/>
      <x:c r="F6" s="16"/>
      <x:c r="G6" s="16"/>
      <x:c r="H6" s="16"/>
      <x:c r="I6" s="16"/>
      <x:c r="J6" s="16"/>
      <x:c r="K6" s="16"/>
      <x:c r="L6" s="16"/>
    </x:row>
    <x:row r="7">
      <x:c r="A7" s="21" t="str">
        <x:v>当前基线</x:v>
      </x:c>
      <x:c r="B7" s="21" t="str">
        <x:v>已审核通过25条正式事件；新增“正式事件映射”、“正式覆盖矩阵”和“专题优先级”作为下一批核证依据。</x:v>
      </x:c>
      <x:c r="C7" s="16"/>
      <x:c r="D7" s="16"/>
      <x:c r="E7" s="16"/>
      <x:c r="F7" s="16"/>
      <x:c r="G7" s="16"/>
      <x:c r="H7" s="16"/>
      <x:c r="I7" s="16"/>
      <x:c r="J7" s="16"/>
      <x:c r="K7" s="16"/>
      <x:c r="L7" s="16"/>
    </x:row>
    <x:row r="8">
      <x:c r="A8" s="21" t="str">
        <x:v>使用方法</x:v>
      </x:c>
      <x:c r="B8" s="21" t="str">
        <x:v>先查看“正式覆盖矩阵”的空白和低覆盖，再按“专题优先级”开展专题检索；候选池仅作历史记录。</x:v>
      </x:c>
      <x:c r="C8" s="16"/>
      <x:c r="D8" s="16"/>
      <x:c r="E8" s="16"/>
      <x:c r="F8" s="16"/>
      <x:c r="G8" s="16"/>
      <x:c r="H8" s="16"/>
      <x:c r="I8" s="16"/>
      <x:c r="J8" s="16"/>
      <x:c r="K8" s="16"/>
      <x:c r="L8" s="16"/>
    </x:row>
    <x:row r="9">
      <x:c r="A9" s="21" t="str">
        <x:v>收录边界</x:v>
      </x:c>
      <x:c r="B9" s="21" t="str">
        <x:v>全国性政治或制度事件必须证明对长安空间、运行或居民生活有直接影响，否则仅作背景。</x:v>
      </x:c>
      <x:c r="C9" s="16"/>
      <x:c r="D9" s="16"/>
      <x:c r="E9" s="16"/>
      <x:c r="F9" s="16"/>
      <x:c r="G9" s="16"/>
      <x:c r="H9" s="16"/>
      <x:c r="I9" s="16"/>
      <x:c r="J9" s="16"/>
      <x:c r="K9" s="16"/>
      <x:c r="L9" s="16"/>
    </x:row>
    <x:row r="10">
      <x:c r="A10" s="21" t="str">
        <x:v>版本日期</x:v>
      </x:c>
      <x:c r="B10" s="21" t="str">
        <x:v>2026-08-22</x:v>
      </x:c>
      <x:c r="C10" s="16"/>
      <x:c r="D10" s="16"/>
      <x:c r="E10" s="16"/>
      <x:c r="F10" s="16"/>
      <x:c r="G10" s="16"/>
      <x:c r="H10" s="16"/>
      <x:c r="I10" s="16"/>
      <x:c r="J10" s="16"/>
      <x:c r="K10" s="16"/>
      <x:c r="L10" s="16"/>
    </x:row>
    <x:row r="11">
      <x:c r="A11" s="21"/>
      <x:c r="B11" s="21"/>
      <x:c r="C11" s="16"/>
      <x:c r="D11" s="16"/>
      <x:c r="E11" s="16"/>
      <x:c r="F11" s="16"/>
      <x:c r="G11" s="16"/>
      <x:c r="H11" s="16"/>
      <x:c r="I11" s="16"/>
      <x:c r="J11" s="16"/>
      <x:c r="K11" s="16"/>
      <x:c r="L11" s="16"/>
    </x:row>
    <x:row r="12">
      <x:c r="A12" s="17" t="str">
        <x:v>评估维度</x:v>
      </x:c>
      <x:c r="B12" s="19" t="str">
        <x:v>0分</x:v>
      </x:c>
      <x:c r="C12" s="19" t="str">
        <x:v>1分</x:v>
      </x:c>
      <x:c r="D12" s="19" t="str">
        <x:v>2分</x:v>
      </x:c>
      <x:c r="E12" s="19" t="str">
        <x:v>说明</x:v>
      </x:c>
      <x:c r="F12" s="18" t="str">
        <x:v>建议</x:v>
      </x:c>
      <x:c r="G12" s="16"/>
      <x:c r="H12" s="16"/>
      <x:c r="I12" s="16"/>
      <x:c r="J12" s="16"/>
      <x:c r="K12" s="16"/>
      <x:c r="L12" s="16"/>
    </x:row>
    <x:row r="13">
      <x:c r="A13" s="21" t="str">
        <x:v>历史重要性</x:v>
      </x:c>
      <x:c r="B13" s="21" t="str">
        <x:v>局部</x:v>
      </x:c>
      <x:c r="C13" s="16" t="str">
        <x:v>阶段性</x:v>
      </x:c>
      <x:c r="D13" s="16" t="str">
        <x:v>时代转折</x:v>
      </x:c>
      <x:c r="E13" s="16" t="str">
        <x:v>是否改变历史进程</x:v>
      </x:c>
      <x:c r="F13" s="16" t="str"/>
      <x:c r="G13" s="16"/>
      <x:c r="H13" s="16"/>
      <x:c r="I13" s="16"/>
      <x:c r="J13" s="16"/>
      <x:c r="K13" s="16"/>
      <x:c r="L13" s="16"/>
    </x:row>
    <x:row r="14">
      <x:c r="A14" s="21" t="str">
        <x:v>长安影响</x:v>
      </x:c>
      <x:c r="B14" s="21" t="str">
        <x:v>间接</x:v>
      </x:c>
      <x:c r="C14" s="16" t="str">
        <x:v>明显</x:v>
      </x:c>
      <x:c r="D14" s="16" t="str">
        <x:v>结构性</x:v>
      </x:c>
      <x:c r="E14" s="16" t="str">
        <x:v>都城地位、城市面貌或运行</x:v>
      </x:c>
      <x:c r="F14" s="16" t="str"/>
      <x:c r="G14" s="16"/>
      <x:c r="H14" s="16"/>
      <x:c r="I14" s="16"/>
      <x:c r="J14" s="16"/>
      <x:c r="K14" s="16"/>
      <x:c r="L14" s="16"/>
    </x:row>
    <x:row r="15">
      <x:c r="A15" s="21" t="str">
        <x:v>空间关联</x:v>
      </x:c>
      <x:c r="B15" s="21" t="str">
        <x:v>无</x:v>
      </x:c>
      <x:c r="C15" s="16" t="str">
        <x:v>可关联</x:v>
      </x:c>
      <x:c r="D15" s="16" t="str">
        <x:v>明确定位</x:v>
      </x:c>
      <x:c r="E15" s="16" t="str">
        <x:v>城门、宫城、坊市、水渠等</x:v>
      </x:c>
      <x:c r="F15" s="16" t="str"/>
      <x:c r="G15" s="16"/>
      <x:c r="H15" s="16"/>
      <x:c r="I15" s="16"/>
      <x:c r="J15" s="16"/>
      <x:c r="K15" s="16"/>
      <x:c r="L15" s="16"/>
    </x:row>
    <x:row r="16">
      <x:c r="A16" s="21" t="str">
        <x:v>居民影响</x:v>
      </x:c>
      <x:c r="B16" s="21" t="str">
        <x:v>无</x:v>
      </x:c>
      <x:c r="C16" s="16" t="str">
        <x:v>局部</x:v>
      </x:c>
      <x:c r="D16" s="16" t="str">
        <x:v>广泛</x:v>
      </x:c>
      <x:c r="E16" s="16" t="str">
        <x:v>交通、供水、商业、宗教、治安、迁徙</x:v>
      </x:c>
      <x:c r="F16" s="16" t="str"/>
      <x:c r="G16" s="16"/>
      <x:c r="H16" s="16"/>
      <x:c r="I16" s="16"/>
      <x:c r="J16" s="16"/>
      <x:c r="K16" s="16"/>
      <x:c r="L16" s="16"/>
    </x:row>
    <x:row r="17">
      <x:c r="A17" s="21" t="str">
        <x:v>证据成熟度</x:v>
      </x:c>
      <x:c r="B17" s="21" t="str">
        <x:v>待找</x:v>
      </x:c>
      <x:c r="C17" s="16" t="str">
        <x:v>单一来源</x:v>
      </x:c>
      <x:c r="D17" s="16" t="str">
        <x:v>多源互证</x:v>
      </x:c>
      <x:c r="E17" s="16" t="str">
        <x:v>正式收录前至少一条可靠证据</x:v>
      </x:c>
      <x:c r="F17" s="16" t="str">
        <x:v>总分高者优先，不机械按分数收录</x:v>
      </x:c>
      <x:c r="G17" s="16"/>
      <x:c r="H17" s="16"/>
      <x:c r="I17" s="16"/>
      <x:c r="J17" s="16"/>
      <x:c r="K17" s="16"/>
      <x:c r="L17" s="16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30" hidden="0" customWidth="1"/>
    <x:col min="4" max="4" width="12" hidden="0" customWidth="1"/>
    <x:col min="5" max="5" width="22" hidden="0" customWidth="1"/>
    <x:col min="6" max="6" width="28" hidden="0" customWidth="1"/>
    <x:col min="7" max="7" width="14" hidden="0" customWidth="1"/>
    <x:col min="8" max="8" width="10" hidden="0" customWidth="1"/>
    <x:col min="9" max="9" width="15" hidden="0" customWidth="1"/>
    <x:col min="10" max="10" width="30" hidden="0" customWidth="1"/>
    <x:col min="11" max="11" width="36" hidden="0" customWidth="1"/>
    <x:col min="12" max="12" width="24" hidden="0" customWidth="1"/>
  </x:cols>
  <x:sheetData>
    <x:row r="1">
      <x:c r="A1" s="20" t="str">
        <x:v>候选事件池（正式录入前的筛选与核证清单）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</x:row>
    <x:row r="2">
      <x:c r="A2" s="16"/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</x:row>
    <x:row r="3">
      <x:c r="A3" s="17" t="str">
        <x:v>candidate_key</x:v>
      </x:c>
      <x:c r="B3" s="19" t="str">
        <x:v>date_display</x:v>
      </x:c>
      <x:c r="C3" s="19" t="str">
        <x:v>event_name</x:v>
      </x:c>
      <x:c r="D3" s="19" t="str">
        <x:v>stage_code</x:v>
      </x:c>
      <x:c r="E3" s="19" t="str">
        <x:v>event_type</x:v>
      </x:c>
      <x:c r="F3" s="19" t="str">
        <x:v>coverage_theme_codes</x:v>
      </x:c>
      <x:c r="G3" s="19" t="str">
        <x:v>candidate_status</x:v>
      </x:c>
      <x:c r="H3" s="19" t="str">
        <x:v>priority</x:v>
      </x:c>
      <x:c r="I3" s="19" t="str">
        <x:v>evidence_status</x:v>
      </x:c>
      <x:c r="J3" s="19" t="str">
        <x:v>source_strategy</x:v>
      </x:c>
      <x:c r="K3" s="19" t="str">
        <x:v>review_note</x:v>
      </x:c>
      <x:c r="L3" s="18" t="str">
        <x:v>next_action</x:v>
      </x:c>
    </x:row>
    <x:row r="4">
      <x:c r="A4" s="23" t="str">
        <x:v>TC-TIMELINE-0001</x:v>
      </x:c>
      <x:c r="B4" s="24" t="str">
        <x:v>582—583</x:v>
      </x:c>
      <x:c r="C4" s="24" t="str">
        <x:v>营建大兴城并迁入新都</x:v>
      </x:c>
      <x:c r="D4" s="24" t="str">
        <x:v>S1</x:v>
      </x:c>
      <x:c r="E4" s="24" t="str">
        <x:v>CITY_FOUNDING</x:v>
      </x:c>
      <x:c r="F4" s="24" t="str">
        <x:v>T1;T2;T3;T4;T5;T6</x:v>
      </x:c>
      <x:c r="G4" s="24" t="str">
        <x:v>已收录</x:v>
      </x:c>
      <x:c r="H4" s="24" t="str">
        <x:v>核心</x:v>
      </x:c>
      <x:c r="I4" s="24" t="str">
        <x:v>已核验</x:v>
      </x:c>
      <x:c r="J4" s="24" t="str">
        <x:v>《隋书》；现代通史；考古复原</x:v>
      </x:c>
      <x:c r="K4" s="24" t="str">
        <x:v>建城、命名与入居合并为连续事件</x:v>
      </x:c>
      <x:c r="L4" s="25" t="str">
        <x:v>无需重复录入</x:v>
      </x:c>
    </x:row>
    <x:row r="5">
      <x:c r="A5" s="26" t="str">
        <x:v>CAND-0001</x:v>
      </x:c>
      <x:c r="B5" s="27" t="str">
        <x:v>584前后</x:v>
      </x:c>
      <x:c r="C5" s="27" t="str">
        <x:v>开凿广通渠并改善都城漕运</x:v>
      </x:c>
      <x:c r="D5" s="27" t="str">
        <x:v>S1</x:v>
      </x:c>
      <x:c r="E5" s="27" t="str">
        <x:v>TRANSPORT</x:v>
      </x:c>
      <x:c r="F5" s="27" t="str">
        <x:v>T4;T5;T6;T8</x:v>
      </x:c>
      <x:c r="G5" s="27" t="str">
        <x:v>已收录</x:v>
      </x:c>
      <x:c r="H5" s="27" t="str">
        <x:v>高</x:v>
      </x:c>
      <x:c r="I5" s="27" t="str">
        <x:v>已核验</x:v>
      </x:c>
      <x:c r="J5" s="27" t="str">
        <x:v>《隋书·食货志》；水利考古研究</x:v>
      </x:c>
      <x:c r="K5" s="27" t="str">
        <x:v>核查渠线、起讫点及对大兴城供给的作用</x:v>
      </x:c>
      <x:c r="L5" s="28" t="str">
        <x:v>已转正式事件 TC-TIMELINE-0015</x:v>
      </x:c>
    </x:row>
    <x:row r="6">
      <x:c r="A6" s="26" t="str">
        <x:v>CAND-0002</x:v>
      </x:c>
      <x:c r="B6" s="27" t="str">
        <x:v>583年（龙首渠、永安渠）；清明渠为开皇初</x:v>
      </x:c>
      <x:c r="C6" s="27" t="str">
        <x:v>龙首渠、永安渠和清明渠构成都城主要引水系统</x:v>
      </x:c>
      <x:c r="D6" s="27" t="str">
        <x:v>S1</x:v>
      </x:c>
      <x:c r="E6" s="27" t="str">
        <x:v>URBAN_CONSTRUCTION</x:v>
      </x:c>
      <x:c r="F6" s="27" t="str">
        <x:v>T2;T5;T8</x:v>
      </x:c>
      <x:c r="G6" s="27" t="str">
        <x:v>核心候选</x:v>
      </x:c>
      <x:c r="H6" s="27" t="str">
        <x:v>高</x:v>
      </x:c>
      <x:c r="I6" s="27" t="str">
        <x:v>已初核</x:v>
      </x:c>
      <x:c r="J6" s="27" t="str">
        <x:v>《唐两京城坊考》卷四“龙首渠”“永安渠”“清明渠”；后续补《长安志》与考古资料</x:v>
      </x:c>
      <x:c r="K6" s="27" t="str">
        <x:v>龙首渠、永安渠明确记开皇三年开；清明渠仅记开皇初。可作为建城配套水系事件，但需与582—583建城事件判断是否合并。</x:v>
      </x:c>
      <x:c r="L6" s="28" t="str">
        <x:v>补一手或考古证据→决定单列/合并</x:v>
      </x:c>
    </x:row>
    <x:row r="7">
      <x:c r="A7" s="26" t="str">
        <x:v>CAND-0003</x:v>
      </x:c>
      <x:c r="B7" s="27" t="str">
        <x:v>605</x:v>
      </x:c>
      <x:c r="C7" s="27" t="str">
        <x:v>营建东都洛阳，影响大兴城政治地位</x:v>
      </x:c>
      <x:c r="D7" s="27" t="str">
        <x:v>S2</x:v>
      </x:c>
      <x:c r="E7" s="27" t="str">
        <x:v>CAPITAL_STATUS</x:v>
      </x:c>
      <x:c r="F7" s="27" t="str">
        <x:v>T1;T3</x:v>
      </x:c>
      <x:c r="G7" s="27" t="str">
        <x:v>补充候选</x:v>
      </x:c>
      <x:c r="H7" s="27" t="str">
        <x:v>中</x:v>
      </x:c>
      <x:c r="I7" s="27" t="str">
        <x:v>待核年</x:v>
      </x:c>
      <x:c r="J7" s="27" t="str">
        <x:v>《隋书·炀帝纪》；《资治通鉴》</x:v>
      </x:c>
      <x:c r="K7" s="27" t="str">
        <x:v>属于长安地位变化的对照节点，不宜夸大城市直接影响</x:v>
      </x:c>
      <x:c r="L7" s="28" t="str">
        <x:v>检索原文→核年→评估收录</x:v>
      </x:c>
    </x:row>
    <x:row r="8">
      <x:c r="A8" s="26" t="str">
        <x:v>TC-TIMELINE-0002</x:v>
      </x:c>
      <x:c r="B8" s="27" t="str">
        <x:v>617—618</x:v>
      </x:c>
      <x:c r="C8" s="27" t="str">
        <x:v>李渊攻占长安并建立唐朝</x:v>
      </x:c>
      <x:c r="D8" s="27" t="str">
        <x:v>S2</x:v>
      </x:c>
      <x:c r="E8" s="27" t="str">
        <x:v>CITY_FOUNDING</x:v>
      </x:c>
      <x:c r="F8" s="27" t="str">
        <x:v>T1;T3;T9</x:v>
      </x:c>
      <x:c r="G8" s="27" t="str">
        <x:v>已收录</x:v>
      </x:c>
      <x:c r="H8" s="27" t="str">
        <x:v>核心</x:v>
      </x:c>
      <x:c r="I8" s="27" t="str">
        <x:v>已核验</x:v>
      </x:c>
      <x:c r="J8" s="27" t="str">
        <x:v>《旧唐书》《新唐书》《资治通鉴》</x:v>
      </x:c>
      <x:c r="K8" s="27" t="str">
        <x:v>跨隋唐的都城身份转换</x:v>
      </x:c>
      <x:c r="L8" s="28" t="str">
        <x:v>无需重复录入</x:v>
      </x:c>
    </x:row>
    <x:row r="9">
      <x:c r="A9" s="26" t="str">
        <x:v>CAND-0004</x:v>
      </x:c>
      <x:c r="B9" s="27" t="str">
        <x:v>618前后</x:v>
      </x:c>
      <x:c r="C9" s="27" t="str">
        <x:v>大兴城改称长安</x:v>
      </x:c>
      <x:c r="D9" s="27" t="str">
        <x:v>S3</x:v>
      </x:c>
      <x:c r="E9" s="27" t="str">
        <x:v>CAPITAL_STATUS</x:v>
      </x:c>
      <x:c r="F9" s="27" t="str">
        <x:v>T1;T2</x:v>
      </x:c>
      <x:c r="G9" s="27" t="str">
        <x:v>核心候选</x:v>
      </x:c>
      <x:c r="H9" s="27" t="str">
        <x:v>高</x:v>
      </x:c>
      <x:c r="I9" s="27" t="str">
        <x:v>待核年</x:v>
      </x:c>
      <x:c r="J9" s="27" t="str">
        <x:v>唐代地理志；两唐书；城市史研究</x:v>
      </x:c>
      <x:c r="K9" s="27" t="str">
        <x:v>需确认正式改名时间和原始记载</x:v>
      </x:c>
      <x:c r="L9" s="28" t="str">
        <x:v>检索原文→核年→评估收录</x:v>
      </x:c>
    </x:row>
    <x:row r="10">
      <x:c r="A10" s="26" t="str">
        <x:v>TC-TIMELINE-0003</x:v>
      </x:c>
      <x:c r="B10" s="27" t="str">
        <x:v>626</x:v>
      </x:c>
      <x:c r="C10" s="27" t="str">
        <x:v>玄武门之变</x:v>
      </x:c>
      <x:c r="D10" s="27" t="str">
        <x:v>S3</x:v>
      </x:c>
      <x:c r="E10" s="27" t="str">
        <x:v>POLITICAL_CHANGE</x:v>
      </x:c>
      <x:c r="F10" s="27" t="str">
        <x:v>T3;T4</x:v>
      </x:c>
      <x:c r="G10" s="27" t="str">
        <x:v>已收录</x:v>
      </x:c>
      <x:c r="H10" s="27" t="str">
        <x:v>核心</x:v>
      </x:c>
      <x:c r="I10" s="27" t="str">
        <x:v>已核验</x:v>
      </x:c>
      <x:c r="J10" s="27" t="str">
        <x:v>《旧唐书》《新唐书》《资治通鉴》</x:v>
      </x:c>
      <x:c r="K10" s="27" t="str">
        <x:v>关联太极宫玄武门</x:v>
      </x:c>
      <x:c r="L10" s="28" t="str">
        <x:v>无需重复录入</x:v>
      </x:c>
    </x:row>
    <x:row r="11">
      <x:c r="A11" s="26" t="str">
        <x:v>CAND-0005</x:v>
      </x:c>
      <x:c r="B11" s="27" t="str">
        <x:v>634—635</x:v>
      </x:c>
      <x:c r="C11" s="27" t="str">
        <x:v>永安宫始建并改名大明宫</x:v>
      </x:c>
      <x:c r="D11" s="27" t="str">
        <x:v>S3</x:v>
      </x:c>
      <x:c r="E11" s="27" t="str">
        <x:v>URBAN_CONSTRUCTION</x:v>
      </x:c>
      <x:c r="F11" s="27" t="str">
        <x:v>T2;T3</x:v>
      </x:c>
      <x:c r="G11" s="27" t="str">
        <x:v>补充候选</x:v>
      </x:c>
      <x:c r="H11" s="27" t="str">
        <x:v>中</x:v>
      </x:c>
      <x:c r="I11" s="27" t="str">
        <x:v>已初核</x:v>
      </x:c>
      <x:c r="J11" s="27" t="str">
        <x:v>《唐两京城坊考》卷一“大明宫”；两唐书地理志；后续补考古报告</x:v>
      </x:c>
      <x:c r="K11" s="27" t="str">
        <x:v>634年置永安宫，635年改名大明宫，初为太上皇清暑；与662年大规模修建及政治中心转移不是同一阶段。</x:v>
      </x:c>
      <x:c r="L11" s="28" t="str">
        <x:v>与CAND-0008成组评估是否分别收录</x:v>
      </x:c>
    </x:row>
    <x:row r="12">
      <x:c r="A12" s="26" t="str">
        <x:v>CAND-0006</x:v>
      </x:c>
      <x:c r="B12" s="27" t="str">
        <x:v>648—652</x:v>
      </x:c>
      <x:c r="C12" s="27" t="str">
        <x:v>大慈恩寺建立及大雁塔初建</x:v>
      </x:c>
      <x:c r="D12" s="27" t="str">
        <x:v>S3</x:v>
      </x:c>
      <x:c r="E12" s="27" t="str">
        <x:v>URBAN_CONSTRUCTION</x:v>
      </x:c>
      <x:c r="F12" s="27" t="str">
        <x:v>T2;T7;T8</x:v>
      </x:c>
      <x:c r="G12" s="27" t="str">
        <x:v>已收录</x:v>
      </x:c>
      <x:c r="H12" s="27" t="str">
        <x:v>高</x:v>
      </x:c>
      <x:c r="I12" s="27" t="str">
        <x:v>已核验</x:v>
      </x:c>
      <x:c r="J12" s="27" t="str">
        <x:v>《唐两京城坊考》卷三“晋昌坊”；《旧唐书·玄奘传》；后续补塔铭与考古资料</x:v>
      </x:c>
      <x:c r="K12" s="27" t="str">
        <x:v>648年十二月建寺，652年玄奘建塔；属于同一寺院—译经—塔建筑空间链，可暂合并为跨年事件。</x:v>
      </x:c>
      <x:c r="L12" s="28" t="str">
        <x:v>已转正式事件 TC-TIMELINE-0011</x:v>
      </x:c>
    </x:row>
    <x:row r="13">
      <x:c r="A13" s="26" t="str">
        <x:v>CAND-0007</x:v>
      </x:c>
      <x:c r="B13" s="27" t="str">
        <x:v>656</x:v>
      </x:c>
      <x:c r="C13" s="27" t="str">
        <x:v>西明寺建立</x:v>
      </x:c>
      <x:c r="D13" s="27" t="str">
        <x:v>S3</x:v>
      </x:c>
      <x:c r="E13" s="27" t="str">
        <x:v>URBAN_CONSTRUCTION</x:v>
      </x:c>
      <x:c r="F13" s="27" t="str">
        <x:v>T2;T7;T8</x:v>
      </x:c>
      <x:c r="G13" s="27" t="str">
        <x:v>补充候选</x:v>
      </x:c>
      <x:c r="H13" s="27" t="str">
        <x:v>中</x:v>
      </x:c>
      <x:c r="I13" s="27" t="str">
        <x:v>已初核</x:v>
      </x:c>
      <x:c r="J13" s="27" t="str">
        <x:v>《唐两京城坊考》卷四“延康坊”；后续补两唐书与寺院研究</x:v>
      </x:c>
      <x:c r="K13" s="27" t="str">
        <x:v>原候选年份658有误；现据显庆元年记载改为656。作为国家寺院代表，是否单列取决于宗教事件总量。</x:v>
      </x:c>
      <x:c r="L13" s="28" t="str">
        <x:v>补正史原文→与慈恩寺比较取舍</x:v>
      </x:c>
    </x:row>
    <x:row r="14">
      <x:c r="A14" s="26" t="str">
        <x:v>CAND-0008</x:v>
      </x:c>
      <x:c r="B14" s="27" t="str">
        <x:v>662年以后</x:v>
      </x:c>
      <x:c r="C14" s="27" t="str">
        <x:v>大明宫扩建并成为主要政治中心</x:v>
      </x:c>
      <x:c r="D14" s="27" t="str">
        <x:v>S3</x:v>
      </x:c>
      <x:c r="E14" s="27" t="str">
        <x:v>URBAN_CONSTRUCTION</x:v>
      </x:c>
      <x:c r="F14" s="27" t="str">
        <x:v>T1;T2;T3;T4</x:v>
      </x:c>
      <x:c r="G14" s="27" t="str">
        <x:v>已收录</x:v>
      </x:c>
      <x:c r="H14" s="27" t="str">
        <x:v>高</x:v>
      </x:c>
      <x:c r="I14" s="27" t="str">
        <x:v>已核验</x:v>
      </x:c>
      <x:c r="J14" s="27" t="str">
        <x:v>《旧唐书·地理志》；《唐两京城坊考》卷一“大明宫”；后续补高宗本纪与考古报告</x:v>
      </x:c>
      <x:c r="K14" s="27" t="str">
        <x:v>龙朔二年置/大修并改名蓬莱宫；《旧唐书》明确称高宗以后天子常居东内。比634年始建更适合作为主时间轴节点。</x:v>
      </x:c>
      <x:c r="L14" s="28" t="str">
        <x:v>已转正式事件 TC-TIMELINE-0012</x:v>
      </x:c>
    </x:row>
    <x:row r="15">
      <x:c r="A15" s="26" t="str">
        <x:v>TC-TIMELINE-0004</x:v>
      </x:c>
      <x:c r="B15" s="27" t="str">
        <x:v>690</x:v>
      </x:c>
      <x:c r="C15" s="27" t="str">
        <x:v>武则天改唐为周</x:v>
      </x:c>
      <x:c r="D15" s="27" t="str">
        <x:v>S3</x:v>
      </x:c>
      <x:c r="E15" s="27" t="str">
        <x:v>CAPITAL_STATUS</x:v>
      </x:c>
      <x:c r="F15" s="27" t="str">
        <x:v>T1;T3</x:v>
      </x:c>
      <x:c r="G15" s="27" t="str">
        <x:v>已收录</x:v>
      </x:c>
      <x:c r="H15" s="27" t="str">
        <x:v>核心</x:v>
      </x:c>
      <x:c r="I15" s="27" t="str">
        <x:v>已核验</x:v>
      </x:c>
      <x:c r="J15" s="27" t="str">
        <x:v>《旧唐书》《新唐书》《资治通鉴》</x:v>
      </x:c>
      <x:c r="K15" s="27" t="str">
        <x:v>长安政治中心地位阶段性下降</x:v>
      </x:c>
      <x:c r="L15" s="28" t="str">
        <x:v>无需重复录入</x:v>
      </x:c>
    </x:row>
    <x:row r="16">
      <x:c r="A16" s="26" t="str">
        <x:v>CAND-0009</x:v>
      </x:c>
      <x:c r="B16" s="27" t="str">
        <x:v>701—704前后</x:v>
      </x:c>
      <x:c r="C16" s="27" t="str">
        <x:v>大雁塔重建并形成现存基本形态</x:v>
      </x:c>
      <x:c r="D16" s="27" t="str">
        <x:v>S3</x:v>
      </x:c>
      <x:c r="E16" s="27" t="str">
        <x:v>URBAN_CONSTRUCTION</x:v>
      </x:c>
      <x:c r="F16" s="27" t="str">
        <x:v>T2;T7</x:v>
      </x:c>
      <x:c r="G16" s="27" t="str">
        <x:v>补充候选</x:v>
      </x:c>
      <x:c r="H16" s="27" t="str">
        <x:v>中</x:v>
      </x:c>
      <x:c r="I16" s="27" t="str">
        <x:v>待核年</x:v>
      </x:c>
      <x:c r="J16" s="27" t="str">
        <x:v>两唐书；塔铭；建筑考古研究</x:v>
      </x:c>
      <x:c r="K16" s="27" t="str">
        <x:v>具体年次和形制变化需核</x:v>
      </x:c>
      <x:c r="L16" s="28" t="str">
        <x:v>检索原文→核年→评估收录</x:v>
      </x:c>
    </x:row>
    <x:row r="17">
      <x:c r="A17" s="26" t="str">
        <x:v>CAND-0010</x:v>
      </x:c>
      <x:c r="B17" s="27" t="str">
        <x:v>705</x:v>
      </x:c>
      <x:c r="C17" s="27" t="str">
        <x:v>唐中宗复位，政治中心返回长安</x:v>
      </x:c>
      <x:c r="D17" s="27" t="str">
        <x:v>S3</x:v>
      </x:c>
      <x:c r="E17" s="27" t="str">
        <x:v>CAPITAL_STATUS</x:v>
      </x:c>
      <x:c r="F17" s="27" t="str">
        <x:v>T1;T3</x:v>
      </x:c>
      <x:c r="G17" s="27" t="str">
        <x:v>已收录</x:v>
      </x:c>
      <x:c r="H17" s="27" t="str">
        <x:v>高</x:v>
      </x:c>
      <x:c r="I17" s="27" t="str">
        <x:v>已核验</x:v>
      </x:c>
      <x:c r="J17" s="27" t="str">
        <x:v>《资治通鉴》；两唐书</x:v>
      </x:c>
      <x:c r="K17" s="27" t="str">
        <x:v>与690年形成都城地位变化的闭环</x:v>
      </x:c>
      <x:c r="L17" s="28" t="str">
        <x:v>已转正式事件 TC-TIMELINE-0016</x:v>
      </x:c>
    </x:row>
    <x:row r="18">
      <x:c r="A18" s="26" t="str">
        <x:v>CAND-0011</x:v>
      </x:c>
      <x:c r="B18" s="27" t="str">
        <x:v>710</x:v>
      </x:c>
      <x:c r="C18" s="27" t="str">
        <x:v>唐隆政变发生于长安宫城</x:v>
      </x:c>
      <x:c r="D18" s="27" t="str">
        <x:v>S3</x:v>
      </x:c>
      <x:c r="E18" s="27" t="str">
        <x:v>POLITICAL_CHANGE</x:v>
      </x:c>
      <x:c r="F18" s="27" t="str">
        <x:v>T3;T4</x:v>
      </x:c>
      <x:c r="G18" s="27" t="str">
        <x:v>背景候选</x:v>
      </x:c>
      <x:c r="H18" s="27" t="str">
        <x:v>低</x:v>
      </x:c>
      <x:c r="I18" s="27" t="str">
        <x:v>待核年</x:v>
      </x:c>
      <x:c r="J18" s="27" t="str">
        <x:v>《资治通鉴》；两唐书</x:v>
      </x:c>
      <x:c r="K18" s="27" t="str">
        <x:v>若总量受限，可并入宫城权力空间专题而不单列</x:v>
      </x:c>
      <x:c r="L18" s="28" t="str">
        <x:v>检索原文→核年→评估收录</x:v>
      </x:c>
    </x:row>
    <x:row r="19">
      <x:c r="A19" s="26" t="str">
        <x:v>CAND-0012</x:v>
      </x:c>
      <x:c r="B19" s="27" t="str">
        <x:v>714</x:v>
      </x:c>
      <x:c r="C19" s="27" t="str">
        <x:v>隆庆旧邸改建兴庆宫</x:v>
      </x:c>
      <x:c r="D19" s="27" t="str">
        <x:v>S4</x:v>
      </x:c>
      <x:c r="E19" s="27" t="str">
        <x:v>URBAN_CONSTRUCTION</x:v>
      </x:c>
      <x:c r="F19" s="27" t="str">
        <x:v>T2;T3;T8</x:v>
      </x:c>
      <x:c r="G19" s="27" t="str">
        <x:v>已收录</x:v>
      </x:c>
      <x:c r="H19" s="27" t="str">
        <x:v>高</x:v>
      </x:c>
      <x:c r="I19" s="27" t="str">
        <x:v>已核验</x:v>
      </x:c>
      <x:c r="J19" s="27" t="str">
        <x:v>《旧唐书·玄宗纪》；《新唐书·玄宗纪》；《唐两京城坊考》卷一“兴庆宫”</x:v>
      </x:c>
      <x:c r="K19" s="27" t="str">
        <x:v>开元二年以隆庆里旧邸为兴庆宫，体现坊宅转为宫苑。应与726—728扩建和听政阶段连续叙述。</x:v>
      </x:c>
      <x:c r="L19" s="28" t="str">
        <x:v>已转正式事件 TC-TIMELINE-0013</x:v>
      </x:c>
    </x:row>
    <x:row r="20">
      <x:c r="A20" s="26" t="str">
        <x:v>CAND-0013</x:v>
      </x:c>
      <x:c r="B20" s="27" t="str">
        <x:v>726—728</x:v>
      </x:c>
      <x:c r="C20" s="27" t="str">
        <x:v>兴庆宫扩建并开始听政</x:v>
      </x:c>
      <x:c r="D20" s="27" t="str">
        <x:v>S4</x:v>
      </x:c>
      <x:c r="E20" s="27" t="str">
        <x:v>URBAN_CONSTRUCTION</x:v>
      </x:c>
      <x:c r="F20" s="27" t="str">
        <x:v>T1;T2;T3;T4</x:v>
      </x:c>
      <x:c r="G20" s="27" t="str">
        <x:v>已收录</x:v>
      </x:c>
      <x:c r="H20" s="27" t="str">
        <x:v>高</x:v>
      </x:c>
      <x:c r="I20" s="27" t="str">
        <x:v>已核验</x:v>
      </x:c>
      <x:c r="J20" s="27" t="str">
        <x:v>《旧唐书·玄宗纪》；《唐两京城坊考》卷一“兴庆宫”</x:v>
      </x:c>
      <x:c r="K20" s="27" t="str">
        <x:v>开元十四年扩取永嘉、胜业两坊之半并置朝堂，开元十六年始在兴庆宫听政；建议与714始建合并为714—728的空间转型事件。</x:v>
      </x:c>
      <x:c r="L20" s="28" t="str">
        <x:v>已转正式事件 TC-TIMELINE-0013</x:v>
      </x:c>
    </x:row>
    <x:row r="21">
      <x:c r="A21" s="26" t="str">
        <x:v>CAND-0014</x:v>
      </x:c>
      <x:c r="B21" s="27" t="str">
        <x:v>开元年间</x:v>
      </x:c>
      <x:c r="C21" s="27" t="str">
        <x:v>长安东西市与坊市商业达到繁盛阶段</x:v>
      </x:c>
      <x:c r="D21" s="27" t="str">
        <x:v>S4</x:v>
      </x:c>
      <x:c r="E21" s="27" t="str">
        <x:v>SOCIAL_POLICY</x:v>
      </x:c>
      <x:c r="F21" s="27" t="str">
        <x:v>T6;T8</x:v>
      </x:c>
      <x:c r="G21" s="27" t="str">
        <x:v>补充候选</x:v>
      </x:c>
      <x:c r="H21" s="27" t="str">
        <x:v>中</x:v>
      </x:c>
      <x:c r="I21" s="27" t="str">
        <x:v>待专题核证</x:v>
      </x:c>
      <x:c r="J21" s="27" t="str">
        <x:v>唐代城市与商业史研究；制度文献</x:v>
      </x:c>
      <x:c r="K21" s="27" t="str">
        <x:v>不能用模糊繁荣叙述直接入表，须找到具体政策或可核节点</x:v>
      </x:c>
      <x:c r="L21" s="28" t="str">
        <x:v>检索原文→核年→评估收录</x:v>
      </x:c>
    </x:row>
    <x:row r="22">
      <x:c r="A22" s="26" t="str">
        <x:v>CAND-0015</x:v>
      </x:c>
      <x:c r="B22" s="27" t="str">
        <x:v>开元—天宝年间</x:v>
      </x:c>
      <x:c r="C22" s="27" t="str">
        <x:v>外国使节、商人与宗教群体汇聚长安</x:v>
      </x:c>
      <x:c r="D22" s="27" t="str">
        <x:v>S4</x:v>
      </x:c>
      <x:c r="E22" s="27" t="str">
        <x:v>TRANSPORT</x:v>
      </x:c>
      <x:c r="F22" s="27" t="str">
        <x:v>T4;T6;T7;T8</x:v>
      </x:c>
      <x:c r="G22" s="27" t="str">
        <x:v>补充候选</x:v>
      </x:c>
      <x:c r="H22" s="27" t="str">
        <x:v>中</x:v>
      </x:c>
      <x:c r="I22" s="27" t="str">
        <x:v>待专题核证</x:v>
      </x:c>
      <x:c r="J22" s="27" t="str">
        <x:v>两唐书；墓志；宗教与中外交流研究</x:v>
      </x:c>
      <x:c r="K22" s="27" t="str">
        <x:v>宜以具体制度、使团或设施节点落地</x:v>
      </x:c>
      <x:c r="L22" s="28" t="str">
        <x:v>检索原文→核年→评估收录</x:v>
      </x:c>
    </x:row>
    <x:row r="23">
      <x:c r="A23" s="26" t="str">
        <x:v>CAND-0016</x:v>
      </x:c>
      <x:c r="B23" s="27" t="str">
        <x:v>751前后</x:v>
      </x:c>
      <x:c r="C23" s="27" t="str">
        <x:v>含光门等交通与对外通道功能达到高峰</x:v>
      </x:c>
      <x:c r="D23" s="27" t="str">
        <x:v>S4</x:v>
      </x:c>
      <x:c r="E23" s="27" t="str">
        <x:v>TRANSPORT</x:v>
      </x:c>
      <x:c r="F23" s="27" t="str">
        <x:v>T4;T6;T8</x:v>
      </x:c>
      <x:c r="G23" s="27" t="str">
        <x:v>背景候选</x:v>
      </x:c>
      <x:c r="H23" s="27" t="str">
        <x:v>低</x:v>
      </x:c>
      <x:c r="I23" s="27" t="str">
        <x:v>待专题核证</x:v>
      </x:c>
      <x:c r="J23" s="27" t="str">
        <x:v>城门考古；交通史研究</x:v>
      </x:c>
      <x:c r="K23" s="27" t="str">
        <x:v>目前只是主题占位，必须找到具体事件才能收录</x:v>
      </x:c>
      <x:c r="L23" s="28" t="str">
        <x:v>检索原文→核年→评估收录</x:v>
      </x:c>
    </x:row>
    <x:row r="24">
      <x:c r="A24" s="26" t="str">
        <x:v>TC-TIMELINE-0005</x:v>
      </x:c>
      <x:c r="B24" s="27" t="str">
        <x:v>756</x:v>
      </x:c>
      <x:c r="C24" s="27" t="str">
        <x:v>安史之乱中长安陷落</x:v>
      </x:c>
      <x:c r="D24" s="27" t="str">
        <x:v>S5</x:v>
      </x:c>
      <x:c r="E24" s="27" t="str">
        <x:v>WAR</x:v>
      </x:c>
      <x:c r="F24" s="27" t="str">
        <x:v>T1;T3;T4;T6;T8;T9;T10</x:v>
      </x:c>
      <x:c r="G24" s="27" t="str">
        <x:v>已收录</x:v>
      </x:c>
      <x:c r="H24" s="27" t="str">
        <x:v>核心</x:v>
      </x:c>
      <x:c r="I24" s="27" t="str">
        <x:v>已核验</x:v>
      </x:c>
      <x:c r="J24" s="27" t="str">
        <x:v>《资治通鉴》；两唐书</x:v>
      </x:c>
      <x:c r="K24" s="27" t="str">
        <x:v>居民逃散、市场萧条与都城失守</x:v>
      </x:c>
      <x:c r="L24" s="28" t="str">
        <x:v>无需重复录入</x:v>
      </x:c>
    </x:row>
    <x:row r="25">
      <x:c r="A25" s="26" t="str">
        <x:v>CAND-0017</x:v>
      </x:c>
      <x:c r="B25" s="27" t="str">
        <x:v>757</x:v>
      </x:c>
      <x:c r="C25" s="27" t="str">
        <x:v>唐军收复长安</x:v>
      </x:c>
      <x:c r="D25" s="27" t="str">
        <x:v>S5</x:v>
      </x:c>
      <x:c r="E25" s="27" t="str">
        <x:v>WAR</x:v>
      </x:c>
      <x:c r="F25" s="27" t="str">
        <x:v>T1;T3;T4;T8;T9</x:v>
      </x:c>
      <x:c r="G25" s="27" t="str">
        <x:v>已收录</x:v>
      </x:c>
      <x:c r="H25" s="27" t="str">
        <x:v>高</x:v>
      </x:c>
      <x:c r="I25" s="27" t="str">
        <x:v>已核验</x:v>
      </x:c>
      <x:c r="J25" s="27" t="str">
        <x:v>《资治通鉴》；两唐书</x:v>
      </x:c>
      <x:c r="K25" s="27" t="str">
        <x:v>与756陷落构成占领—收复过程</x:v>
      </x:c>
      <x:c r="L25" s="28" t="str">
        <x:v>已转正式事件 TC-TIMELINE-0017</x:v>
      </x:c>
    </x:row>
    <x:row r="26">
      <x:c r="A26" s="26" t="str">
        <x:v>TC-TIMELINE-0006</x:v>
      </x:c>
      <x:c r="B26" s="27" t="str">
        <x:v>763</x:v>
      </x:c>
      <x:c r="C26" s="27" t="str">
        <x:v>吐蕃攻占长安</x:v>
      </x:c>
      <x:c r="D26" s="27" t="str">
        <x:v>S5</x:v>
      </x:c>
      <x:c r="E26" s="27" t="str">
        <x:v>WAR</x:v>
      </x:c>
      <x:c r="F26" s="27" t="str">
        <x:v>T1;T3;T6;T8;T9;T10</x:v>
      </x:c>
      <x:c r="G26" s="27" t="str">
        <x:v>已收录</x:v>
      </x:c>
      <x:c r="H26" s="27" t="str">
        <x:v>核心</x:v>
      </x:c>
      <x:c r="I26" s="27" t="str">
        <x:v>已核验</x:v>
      </x:c>
      <x:c r="J26" s="27" t="str">
        <x:v>《资治通鉴》；两唐书</x:v>
      </x:c>
      <x:c r="K26" s="27" t="str">
        <x:v>焚掠府库、市里和住宅</x:v>
      </x:c>
      <x:c r="L26" s="28" t="str">
        <x:v>无需重复录入</x:v>
      </x:c>
    </x:row>
    <x:row r="27">
      <x:c r="A27" s="26" t="str">
        <x:v>CAND-0018</x:v>
      </x:c>
      <x:c r="B27" s="27" t="str">
        <x:v>763</x:v>
      </x:c>
      <x:c r="C27" s="27" t="str">
        <x:v>郭子仪收复长安</x:v>
      </x:c>
      <x:c r="D27" s="27" t="str">
        <x:v>S5</x:v>
      </x:c>
      <x:c r="E27" s="27" t="str">
        <x:v>WAR</x:v>
      </x:c>
      <x:c r="F27" s="27" t="str">
        <x:v>T1;T3;T8;T9</x:v>
      </x:c>
      <x:c r="G27" s="27" t="str">
        <x:v>补充候选</x:v>
      </x:c>
      <x:c r="H27" s="27" t="str">
        <x:v>中</x:v>
      </x:c>
      <x:c r="I27" s="27" t="str">
        <x:v>待核年</x:v>
      </x:c>
      <x:c r="J27" s="27" t="str">
        <x:v>《资治通鉴》；两唐书</x:v>
      </x:c>
      <x:c r="K27" s="27" t="str">
        <x:v>可与吐蕃短期占领合并为一个过程</x:v>
      </x:c>
      <x:c r="L27" s="28" t="str">
        <x:v>检索原文→核年→评估收录</x:v>
      </x:c>
    </x:row>
    <x:row r="28">
      <x:c r="A28" s="26" t="str">
        <x:v>CAND-0019</x:v>
      </x:c>
      <x:c r="B28" s="27" t="str">
        <x:v>765</x:v>
      </x:c>
      <x:c r="C28" s="27" t="str">
        <x:v>吐蕃、回纥逼近京畿，长安戒严</x:v>
      </x:c>
      <x:c r="D28" s="27" t="str">
        <x:v>S5</x:v>
      </x:c>
      <x:c r="E28" s="27" t="str">
        <x:v>WAR</x:v>
      </x:c>
      <x:c r="F28" s="27" t="str">
        <x:v>T4;T8;T9</x:v>
      </x:c>
      <x:c r="G28" s="27" t="str">
        <x:v>补充候选</x:v>
      </x:c>
      <x:c r="H28" s="27" t="str">
        <x:v>中</x:v>
      </x:c>
      <x:c r="I28" s="27" t="str">
        <x:v>待核年</x:v>
      </x:c>
      <x:c r="J28" s="27" t="str">
        <x:v>《资治通鉴》；两唐书</x:v>
      </x:c>
      <x:c r="K28" s="27" t="str">
        <x:v>核查是否达到单列标准</x:v>
      </x:c>
      <x:c r="L28" s="28" t="str">
        <x:v>检索原文→核年→评估收录</x:v>
      </x:c>
    </x:row>
    <x:row r="29">
      <x:c r="A29" s="26" t="str">
        <x:v>CAND-0020</x:v>
      </x:c>
      <x:c r="B29" s="27" t="str">
        <x:v>780前后</x:v>
      </x:c>
      <x:c r="C29" s="27" t="str">
        <x:v>两税法实施并改变京师财政与居民负担</x:v>
      </x:c>
      <x:c r="D29" s="27" t="str">
        <x:v>S6</x:v>
      </x:c>
      <x:c r="E29" s="27" t="str">
        <x:v>SOCIAL_POLICY</x:v>
      </x:c>
      <x:c r="F29" s="27" t="str">
        <x:v>T6;T8</x:v>
      </x:c>
      <x:c r="G29" s="27" t="str">
        <x:v>背景候选</x:v>
      </x:c>
      <x:c r="H29" s="27" t="str">
        <x:v>低</x:v>
      </x:c>
      <x:c r="I29" s="27" t="str">
        <x:v>待专题核证</x:v>
      </x:c>
      <x:c r="J29" s="27" t="str">
        <x:v>《旧唐书·食货志》；制度史研究</x:v>
      </x:c>
      <x:c r="K29" s="27" t="str">
        <x:v>全国性政策，只有找到明确长安影响才单列</x:v>
      </x:c>
      <x:c r="L29" s="28" t="str">
        <x:v>检索原文→核年→评估收录</x:v>
      </x:c>
    </x:row>
    <x:row r="30">
      <x:c r="A30" s="26" t="str">
        <x:v>TC-TIMELINE-0007</x:v>
      </x:c>
      <x:c r="B30" s="27" t="str">
        <x:v>783</x:v>
      </x:c>
      <x:c r="C30" s="27" t="str">
        <x:v>泾原兵变</x:v>
      </x:c>
      <x:c r="D30" s="27" t="str">
        <x:v>S6</x:v>
      </x:c>
      <x:c r="E30" s="27" t="str">
        <x:v>WAR</x:v>
      </x:c>
      <x:c r="F30" s="27" t="str">
        <x:v>T1;T3;T4;T8;T9</x:v>
      </x:c>
      <x:c r="G30" s="27" t="str">
        <x:v>已收录</x:v>
      </x:c>
      <x:c r="H30" s="27" t="str">
        <x:v>核心</x:v>
      </x:c>
      <x:c r="I30" s="27" t="str">
        <x:v>已核验</x:v>
      </x:c>
      <x:c r="J30" s="27" t="str">
        <x:v>《资治通鉴》；两唐书</x:v>
      </x:c>
      <x:c r="K30" s="27" t="str">
        <x:v>兵变入城与皇帝出奔</x:v>
      </x:c>
      <x:c r="L30" s="28" t="str">
        <x:v>无需重复录入</x:v>
      </x:c>
    </x:row>
    <x:row r="31">
      <x:c r="A31" s="26" t="str">
        <x:v>CAND-0021</x:v>
      </x:c>
      <x:c r="B31" s="27" t="str">
        <x:v>784</x:v>
      </x:c>
      <x:c r="C31" s="27" t="str">
        <x:v>李晟收复长安</x:v>
      </x:c>
      <x:c r="D31" s="27" t="str">
        <x:v>S6</x:v>
      </x:c>
      <x:c r="E31" s="27" t="str">
        <x:v>WAR</x:v>
      </x:c>
      <x:c r="F31" s="27" t="str">
        <x:v>T1;T3;T4;T8;T9</x:v>
      </x:c>
      <x:c r="G31" s="27" t="str">
        <x:v>已收录</x:v>
      </x:c>
      <x:c r="H31" s="27" t="str">
        <x:v>高</x:v>
      </x:c>
      <x:c r="I31" s="27" t="str">
        <x:v>已核验</x:v>
      </x:c>
      <x:c r="J31" s="27" t="str">
        <x:v>《资治通鉴》；两唐书</x:v>
      </x:c>
      <x:c r="K31" s="27" t="str">
        <x:v>与783兵变构成失守—收复闭环</x:v>
      </x:c>
      <x:c r="L31" s="28" t="str">
        <x:v>已转正式事件 TC-TIMELINE-0018</x:v>
      </x:c>
    </x:row>
    <x:row r="32">
      <x:c r="A32" s="26" t="str">
        <x:v>CAND-0022</x:v>
      </x:c>
      <x:c r="B32" s="27" t="str">
        <x:v>806前后</x:v>
      </x:c>
      <x:c r="C32" s="27" t="str">
        <x:v>六街街使等京城治安管理强化</x:v>
      </x:c>
      <x:c r="D32" s="27" t="str">
        <x:v>S6</x:v>
      </x:c>
      <x:c r="E32" s="27" t="str">
        <x:v>SOCIAL_POLICY</x:v>
      </x:c>
      <x:c r="F32" s="27" t="str">
        <x:v>T4;T6;T8</x:v>
      </x:c>
      <x:c r="G32" s="27" t="str">
        <x:v>补充候选</x:v>
      </x:c>
      <x:c r="H32" s="27" t="str">
        <x:v>中</x:v>
      </x:c>
      <x:c r="I32" s="27" t="str">
        <x:v>待专题核证</x:v>
      </x:c>
      <x:c r="J32" s="27" t="str">
        <x:v>会要、两唐书与城市管理研究</x:v>
      </x:c>
      <x:c r="K32" s="27" t="str">
        <x:v>应落实为制度设立或调整的准确年份</x:v>
      </x:c>
      <x:c r="L32" s="28" t="str">
        <x:v>检索原文→核年→评估收录</x:v>
      </x:c>
    </x:row>
    <x:row r="33">
      <x:c r="A33" s="26" t="str">
        <x:v>CAND-0023</x:v>
      </x:c>
      <x:c r="B33" s="27" t="str">
        <x:v>中唐</x:v>
      </x:c>
      <x:c r="C33" s="27" t="str">
        <x:v>长安坊市夜间活动与管理发生变化</x:v>
      </x:c>
      <x:c r="D33" s="27" t="str">
        <x:v>S6</x:v>
      </x:c>
      <x:c r="E33" s="27" t="str">
        <x:v>SOCIAL_POLICY</x:v>
      </x:c>
      <x:c r="F33" s="27" t="str">
        <x:v>T6;T8</x:v>
      </x:c>
      <x:c r="G33" s="27" t="str">
        <x:v>补充候选</x:v>
      </x:c>
      <x:c r="H33" s="27" t="str">
        <x:v>中</x:v>
      </x:c>
      <x:c r="I33" s="27" t="str">
        <x:v>待专题核证</x:v>
      </x:c>
      <x:c r="J33" s="27" t="str">
        <x:v>律令、笔记与商业史研究</x:v>
      </x:c>
      <x:c r="K33" s="27" t="str">
        <x:v>避免简单套用“取消夜禁”，需以具体证据表述</x:v>
      </x:c>
      <x:c r="L33" s="28" t="str">
        <x:v>检索原文→核年→评估收录</x:v>
      </x:c>
    </x:row>
    <x:row r="34">
      <x:c r="A34" s="26" t="str">
        <x:v>CAND-0024</x:v>
      </x:c>
      <x:c r="B34" s="27" t="str">
        <x:v>835</x:v>
      </x:c>
      <x:c r="C34" s="27" t="str">
        <x:v>甘露之变及宫城内大规模杀戮</x:v>
      </x:c>
      <x:c r="D34" s="27" t="str">
        <x:v>S6</x:v>
      </x:c>
      <x:c r="E34" s="27" t="str">
        <x:v>POLITICAL_CHANGE</x:v>
      </x:c>
      <x:c r="F34" s="27" t="str">
        <x:v>T3;T4;T8;T9</x:v>
      </x:c>
      <x:c r="G34" s="27" t="str">
        <x:v>已收录</x:v>
      </x:c>
      <x:c r="H34" s="27" t="str">
        <x:v>高</x:v>
      </x:c>
      <x:c r="I34" s="27" t="str">
        <x:v>已核验</x:v>
      </x:c>
      <x:c r="J34" s="27" t="str">
        <x:v>《资治通鉴》；两唐书</x:v>
      </x:c>
      <x:c r="K34" s="27" t="str">
        <x:v>突出宫城空间、禁军与官僚活动的关系</x:v>
      </x:c>
      <x:c r="L34" s="28" t="str">
        <x:v>已转正式事件 TC-TIMELINE-0019</x:v>
      </x:c>
    </x:row>
    <x:row r="35">
      <x:c r="A35" s="26" t="str">
        <x:v>CAND-0025</x:v>
      </x:c>
      <x:c r="B35" s="27" t="str">
        <x:v>845</x:v>
      </x:c>
      <x:c r="C35" s="27" t="str">
        <x:v>会昌毁佛大规模裁撤寺院和僧尼</x:v>
      </x:c>
      <x:c r="D35" s="27" t="str">
        <x:v>S7</x:v>
      </x:c>
      <x:c r="E35" s="27" t="str">
        <x:v>SOCIAL_POLICY</x:v>
      </x:c>
      <x:c r="F35" s="27" t="str">
        <x:v>T2;T7;T8;T10</x:v>
      </x:c>
      <x:c r="G35" s="27" t="str">
        <x:v>已收录</x:v>
      </x:c>
      <x:c r="H35" s="27" t="str">
        <x:v>高</x:v>
      </x:c>
      <x:c r="I35" s="27" t="str">
        <x:v>已核验</x:v>
      </x:c>
      <x:c r="J35" s="27" t="str">
        <x:v>《新唐书·武宗纪》；《旧唐书·武宗纪》；《唐两京城坊考》卷三“慈恩寺”</x:v>
      </x:c>
      <x:c r="K35" s="27" t="str">
        <x:v>会昌五年八月大毁佛寺、僧尼还俗；长安仅保留少数寺院，直接重组宗教空间和相关人口。846年政策调整可在说明中交代。</x:v>
      </x:c>
      <x:c r="L35" s="28" t="str">
        <x:v>已转正式事件 TC-TIMELINE-0014</x:v>
      </x:c>
    </x:row>
    <x:row r="36">
      <x:c r="A36" s="26" t="str">
        <x:v>CAND-0026</x:v>
      </x:c>
      <x:c r="B36" s="27" t="str">
        <x:v>797</x:v>
      </x:c>
      <x:c r="C36" s="27" t="str">
        <x:v>引龙首渠水至太清宫前</x:v>
      </x:c>
      <x:c r="D36" s="27" t="str">
        <x:v>S6</x:v>
      </x:c>
      <x:c r="E36" s="27" t="str">
        <x:v>URBAN_CONSTRUCTION</x:v>
      </x:c>
      <x:c r="F36" s="27" t="str">
        <x:v>T3;T5;T8</x:v>
      </x:c>
      <x:c r="G36" s="27" t="str">
        <x:v>补充候选</x:v>
      </x:c>
      <x:c r="H36" s="27" t="str">
        <x:v>中</x:v>
      </x:c>
      <x:c r="I36" s="27" t="str">
        <x:v>已初核</x:v>
      </x:c>
      <x:c r="J36" s="27" t="str">
        <x:v>《旧唐书·德宗纪》；《唐两京城坊考》卷四“龙首渠”</x:v>
      </x:c>
      <x:c r="K36" s="27" t="str">
        <x:v>原“860年代水渠修治”缺乏明确依据，已撤销。现改为贞元十三年明确工程节点，反映中唐都城水系仍在扩展维护。</x:v>
      </x:c>
      <x:c r="L36" s="28" t="str">
        <x:v>补《唐会要》及渠线研究→评估是否单列</x:v>
      </x:c>
    </x:row>
    <x:row r="37">
      <x:c r="A37" s="26" t="str">
        <x:v>CAND-0027</x:v>
      </x:c>
      <x:c r="B37" s="27" t="str">
        <x:v>873—874</x:v>
      </x:c>
      <x:c r="C37" s="27" t="str">
        <x:v>关中灾荒与粮价危机影响长安</x:v>
      </x:c>
      <x:c r="D37" s="27" t="str">
        <x:v>S7</x:v>
      </x:c>
      <x:c r="E37" s="27" t="str">
        <x:v>DISASTER</x:v>
      </x:c>
      <x:c r="F37" s="27" t="str">
        <x:v>T5;T6;T8;T9</x:v>
      </x:c>
      <x:c r="G37" s="27" t="str">
        <x:v>排除</x:v>
      </x:c>
      <x:c r="H37" s="27" t="str">
        <x:v>高</x:v>
      </x:c>
      <x:c r="I37" s="27" t="str">
        <x:v>证据不足</x:v>
      </x:c>
      <x:c r="J37" s="27" t="str">
        <x:v>《资治通鉴》；两唐书；灾荒史研究</x:v>
      </x:c>
      <x:c r="K37" s="27" t="str">
        <x:v>873—874年时间框架未获史料支持；876年“京师饥”目前仅有《新唐书》直接记载。</x:v>
      </x:c>
      <x:c r="L37" s="28" t="str">
        <x:v>已以三源互证的733年京师饥与漕运改革替代</x:v>
      </x:c>
    </x:row>
    <x:row r="38">
      <x:c r="A38" s="26" t="str">
        <x:v>CAND-0028</x:v>
      </x:c>
      <x:c r="B38" s="27" t="str">
        <x:v>879—880</x:v>
      </x:c>
      <x:c r="C38" s="27" t="str">
        <x:v>黄巢军逼近，僖宗撤离长安</x:v>
      </x:c>
      <x:c r="D38" s="27" t="str">
        <x:v>S8</x:v>
      </x:c>
      <x:c r="E38" s="27" t="str">
        <x:v>WAR</x:v>
      </x:c>
      <x:c r="F38" s="27" t="str">
        <x:v>T1;T4;T8;T9</x:v>
      </x:c>
      <x:c r="G38" s="27" t="str">
        <x:v>核心候选</x:v>
      </x:c>
      <x:c r="H38" s="27" t="str">
        <x:v>高</x:v>
      </x:c>
      <x:c r="I38" s="27" t="str">
        <x:v>待核年</x:v>
      </x:c>
      <x:c r="J38" s="27" t="str">
        <x:v>《资治通鉴》；两唐书</x:v>
      </x:c>
      <x:c r="K38" s="27" t="str">
        <x:v>可与881入城合并或作为撤离节点</x:v>
      </x:c>
      <x:c r="L38" s="28" t="str">
        <x:v>检索原文→核年→评估收录</x:v>
      </x:c>
    </x:row>
    <x:row r="39">
      <x:c r="A39" s="26" t="str">
        <x:v>TC-TIMELINE-0008</x:v>
      </x:c>
      <x:c r="B39" s="27" t="str">
        <x:v>881</x:v>
      </x:c>
      <x:c r="C39" s="27" t="str">
        <x:v>黄巢军占领长安</x:v>
      </x:c>
      <x:c r="D39" s="27" t="str">
        <x:v>S8</x:v>
      </x:c>
      <x:c r="E39" s="27" t="str">
        <x:v>WAR</x:v>
      </x:c>
      <x:c r="F39" s="27" t="str">
        <x:v>T1;T3;T4;T6;T8;T9;T10</x:v>
      </x:c>
      <x:c r="G39" s="27" t="str">
        <x:v>已收录</x:v>
      </x:c>
      <x:c r="H39" s="27" t="str">
        <x:v>核心</x:v>
      </x:c>
      <x:c r="I39" s="27" t="str">
        <x:v>已核验</x:v>
      </x:c>
      <x:c r="J39" s="27" t="str">
        <x:v>《资治通鉴》；两唐书</x:v>
      </x:c>
      <x:c r="K39" s="27" t="str">
        <x:v>关联春明门、太极殿、大明宫和含元殿</x:v>
      </x:c>
      <x:c r="L39" s="28" t="str">
        <x:v>无需重复录入</x:v>
      </x:c>
    </x:row>
    <x:row r="40">
      <x:c r="A40" s="26" t="str">
        <x:v>CAND-0029</x:v>
      </x:c>
      <x:c r="B40" s="27" t="str">
        <x:v>883</x:v>
      </x:c>
      <x:c r="C40" s="27" t="str">
        <x:v>唐军收复长安，黄巢退出</x:v>
      </x:c>
      <x:c r="D40" s="27" t="str">
        <x:v>S8</x:v>
      </x:c>
      <x:c r="E40" s="27" t="str">
        <x:v>WAR</x:v>
      </x:c>
      <x:c r="F40" s="27" t="str">
        <x:v>T1;T3;T4;T8;T9;T10</x:v>
      </x:c>
      <x:c r="G40" s="27" t="str">
        <x:v>已收录</x:v>
      </x:c>
      <x:c r="H40" s="27" t="str">
        <x:v>高</x:v>
      </x:c>
      <x:c r="I40" s="27" t="str">
        <x:v>已核验</x:v>
      </x:c>
      <x:c r="J40" s="27" t="str">
        <x:v>《资治通鉴》；两唐书</x:v>
      </x:c>
      <x:c r="K40" s="27" t="str">
        <x:v>核查收复过程及城市损毁程度</x:v>
      </x:c>
      <x:c r="L40" s="28" t="str">
        <x:v>已转正式事件 TC-TIMELINE-0020</x:v>
      </x:c>
    </x:row>
    <x:row r="41">
      <x:c r="A41" s="26" t="str">
        <x:v>CAND-0030</x:v>
      </x:c>
      <x:c r="B41" s="27" t="str">
        <x:v>885—886</x:v>
      </x:c>
      <x:c r="C41" s="27" t="str">
        <x:v>田令孜与王重荣冲突，僖宗再次出奔</x:v>
      </x:c>
      <x:c r="D41" s="27" t="str">
        <x:v>S8</x:v>
      </x:c>
      <x:c r="E41" s="27" t="str">
        <x:v>WAR</x:v>
      </x:c>
      <x:c r="F41" s="27" t="str">
        <x:v>T1;T4;T8;T9</x:v>
      </x:c>
      <x:c r="G41" s="27" t="str">
        <x:v>已收录</x:v>
      </x:c>
      <x:c r="H41" s="27" t="str">
        <x:v>高</x:v>
      </x:c>
      <x:c r="I41" s="27" t="str">
        <x:v>已核验</x:v>
      </x:c>
      <x:c r="J41" s="27" t="str">
        <x:v>《资治通鉴》；两唐书</x:v>
      </x:c>
      <x:c r="K41" s="27" t="str">
        <x:v>反映唐末都城控制持续瓦解</x:v>
      </x:c>
      <x:c r="L41" s="28" t="str">
        <x:v>已转正式事件 TC-TIMELINE-0022</x:v>
      </x:c>
    </x:row>
    <x:row r="42">
      <x:c r="A42" s="26" t="str">
        <x:v>CAND-0031</x:v>
      </x:c>
      <x:c r="B42" s="27" t="str">
        <x:v>895</x:v>
      </x:c>
      <x:c r="C42" s="27" t="str">
        <x:v>李茂贞等入京及昭宗出奔</x:v>
      </x:c>
      <x:c r="D42" s="27" t="str">
        <x:v>S8</x:v>
      </x:c>
      <x:c r="E42" s="27" t="str">
        <x:v>WAR</x:v>
      </x:c>
      <x:c r="F42" s="27" t="str">
        <x:v>T1;T3;T4;T8;T9</x:v>
      </x:c>
      <x:c r="G42" s="27" t="str">
        <x:v>已收录</x:v>
      </x:c>
      <x:c r="H42" s="27" t="str">
        <x:v>中</x:v>
      </x:c>
      <x:c r="I42" s="27" t="str">
        <x:v>已核验</x:v>
      </x:c>
      <x:c r="J42" s="27" t="str">
        <x:v>《资治通鉴》；两唐书</x:v>
      </x:c>
      <x:c r="K42" s="27" t="str">
        <x:v>与后续军阀控制长安连续，考虑合并</x:v>
      </x:c>
      <x:c r="L42" s="28" t="str">
        <x:v>已转正式事件 TC-TIMELINE-0023/0024</x:v>
      </x:c>
    </x:row>
    <x:row r="43">
      <x:c r="A43" s="26" t="str">
        <x:v>CAND-0032</x:v>
      </x:c>
      <x:c r="B43" s="27" t="str">
        <x:v>901—903</x:v>
      </x:c>
      <x:c r="C43" s="27" t="str">
        <x:v>昭宗被劫往凤翔后返回长安</x:v>
      </x:c>
      <x:c r="D43" s="27" t="str">
        <x:v>S8</x:v>
      </x:c>
      <x:c r="E43" s="27" t="str">
        <x:v>CAPITAL_STATUS</x:v>
      </x:c>
      <x:c r="F43" s="27" t="str">
        <x:v>T1;T3;T4;T8;T9</x:v>
      </x:c>
      <x:c r="G43" s="27" t="str">
        <x:v>已收录</x:v>
      </x:c>
      <x:c r="H43" s="27" t="str">
        <x:v>高</x:v>
      </x:c>
      <x:c r="I43" s="27" t="str">
        <x:v>已核验</x:v>
      </x:c>
      <x:c r="J43" s="27" t="str">
        <x:v>《资治通鉴》；两唐书</x:v>
      </x:c>
      <x:c r="K43" s="27" t="str">
        <x:v>表现皇权、宦官与军阀争夺都城</x:v>
      </x:c>
      <x:c r="L43" s="28" t="str">
        <x:v>已转正式事件 TC-TIMELINE-0025</x:v>
      </x:c>
    </x:row>
    <x:row r="44">
      <x:c r="A44" s="26" t="str">
        <x:v>TC-TIMELINE-0009</x:v>
      </x:c>
      <x:c r="B44" s="27" t="str">
        <x:v>904</x:v>
      </x:c>
      <x:c r="C44" s="27" t="str">
        <x:v>朱温强迫迁都并拆毁长安</x:v>
      </x:c>
      <x:c r="D44" s="27" t="str">
        <x:v>S8</x:v>
      </x:c>
      <x:c r="E44" s="27" t="str">
        <x:v>CAPITAL_STATUS</x:v>
      </x:c>
      <x:c r="F44" s="27" t="str">
        <x:v>T1;T2;T3;T6;T8;T10</x:v>
      </x:c>
      <x:c r="G44" s="27" t="str">
        <x:v>已收录</x:v>
      </x:c>
      <x:c r="H44" s="27" t="str">
        <x:v>核心</x:v>
      </x:c>
      <x:c r="I44" s="27" t="str">
        <x:v>已核验</x:v>
      </x:c>
      <x:c r="J44" s="27" t="str">
        <x:v>《资治通鉴》；《旧唐书》</x:v>
      </x:c>
      <x:c r="K44" s="27" t="str">
        <x:v>居民按籍迁徙，宫室官署民宅系统拆毁</x:v>
      </x:c>
      <x:c r="L44" s="28" t="str">
        <x:v>无需重复录入</x:v>
      </x:c>
    </x:row>
    <x:row r="45">
      <x:c r="A45" s="29" t="str">
        <x:v>TC-TIMELINE-0010</x:v>
      </x:c>
      <x:c r="B45" s="30" t="str">
        <x:v>907</x:v>
      </x:c>
      <x:c r="C45" s="30" t="str">
        <x:v>唐朝灭亡</x:v>
      </x:c>
      <x:c r="D45" s="30" t="str">
        <x:v>S8</x:v>
      </x:c>
      <x:c r="E45" s="30" t="str">
        <x:v>POLITICAL_CHANGE</x:v>
      </x:c>
      <x:c r="F45" s="30" t="str">
        <x:v>T1;T10</x:v>
      </x:c>
      <x:c r="G45" s="30" t="str">
        <x:v>已收录</x:v>
      </x:c>
      <x:c r="H45" s="30" t="str">
        <x:v>核心</x:v>
      </x:c>
      <x:c r="I45" s="30" t="str">
        <x:v>已核验</x:v>
      </x:c>
      <x:c r="J45" s="30" t="str">
        <x:v>《资治通鉴》；两唐书</x:v>
      </x:c>
      <x:c r="K45" s="30" t="str">
        <x:v>长安全国性首都时代终结</x:v>
      </x:c>
      <x:c r="L45" s="31" t="str">
        <x:v>无需重复录入</x:v>
      </x:c>
    </x:row>
  </x:sheetData>
  <x:mergeCells>
    <x:mergeCell ref="A1:L1"/>
  </x:mergeCells>
  <x:conditionalFormatting sqref="G4:G45">
    <x:cfRule type="containsText" dxfId="0" priority="1" operator="containsText" text="已收录"/>
  </x:conditionalFormatting>
  <x:conditionalFormatting sqref="I4:I45">
    <x:cfRule type="containsText" dxfId="1" priority="2" operator="containsText" text="待"/>
  </x:conditionalFormatting>
  <x:dataValidations count="5">
    <x:dataValidation type="list" sqref="D4:D45">
      <x:formula1>"S1,S2,S3,S4,S5,S6,S7,S8"</x:formula1>
    </x:dataValidation>
    <x:dataValidation type="list" sqref="E4:E45">
      <x:formula1>"CITY_FOUNDING,URBAN_CONSTRUCTION,POLITICAL_CHANGE,WAR,DISASTER,TRANSPORT,SOCIAL_POLICY,CAPITAL_STATUS"</x:formula1>
    </x:dataValidation>
    <x:dataValidation type="list" sqref="G4:G45">
      <x:formula1>"已收录,核心候选,补充候选,背景候选,排除"</x:formula1>
    </x:dataValidation>
    <x:dataValidation type="list" sqref="H4:H45">
      <x:formula1>"高,中,低"</x:formula1>
    </x:dataValidation>
    <x:dataValidation type="list" sqref="I4:I45">
      <x:formula1>"已核验,已初核,待核年,待专题核证,证据不足"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>
      <x:c r="A1" s="20" t="str">
        <x:v>历史阶段 × 主题覆盖矩阵（统计快照；候选不等于正式收录）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</x:row>
    <x:row r="2">
      <x:c r="A2" s="16"/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</x:row>
    <x:row r="3">
      <x:c r="A3" s="17" t="str">
        <x:v>阶段</x:v>
      </x:c>
      <x:c r="B3" s="19" t="str">
        <x:v>都城地位</x:v>
      </x:c>
      <x:c r="C3" s="19" t="str">
        <x:v>城市规划与营建</x:v>
      </x:c>
      <x:c r="D3" s="19" t="str">
        <x:v>宫城与政治空间</x:v>
      </x:c>
      <x:c r="E3" s="19" t="str">
        <x:v>道路城门与交通</x:v>
      </x:c>
      <x:c r="F3" s="19" t="str">
        <x:v>水利与供给</x:v>
      </x:c>
      <x:c r="G3" s="19" t="str">
        <x:v>坊市与商业</x:v>
      </x:c>
      <x:c r="H3" s="19" t="str">
        <x:v>宗教空间</x:v>
      </x:c>
      <x:c r="I3" s="19" t="str">
        <x:v>居民生活与社会制度</x:v>
      </x:c>
      <x:c r="J3" s="19" t="str">
        <x:v>战争灾害与城市安全</x:v>
      </x:c>
      <x:c r="K3" s="19" t="str">
        <x:v>衰落、破坏与人口迁移</x:v>
      </x:c>
      <x:c r="L3" s="18" t="str">
        <x:v>阶段合计</x:v>
      </x:c>
    </x:row>
    <x:row r="4">
      <x:c r="A4" s="21" t="str">
        <x:v>S1 隋初建城（581—604）</x:v>
      </x:c>
      <x:c r="B4" s="21" t="n">
        <x:v>1</x:v>
      </x:c>
      <x:c r="C4" s="21" t="n">
        <x:v>2</x:v>
      </x:c>
      <x:c r="D4" s="21" t="n">
        <x:v>1</x:v>
      </x:c>
      <x:c r="E4" s="21" t="n">
        <x:v>2</x:v>
      </x:c>
      <x:c r="F4" s="21" t="n">
        <x:v>3</x:v>
      </x:c>
      <x:c r="G4" s="21" t="n">
        <x:v>2</x:v>
      </x:c>
      <x:c r="H4" s="21" t="n">
        <x:v>0</x:v>
      </x:c>
      <x:c r="I4" s="21" t="n">
        <x:v>2</x:v>
      </x:c>
      <x:c r="J4" s="21" t="n">
        <x:v>0</x:v>
      </x:c>
      <x:c r="K4" s="21" t="n">
        <x:v>0</x:v>
      </x:c>
      <x:c r="L4" s="21" t="n">
        <x:v>13</x:v>
      </x:c>
    </x:row>
    <x:row r="5">
      <x:c r="A5" s="21" t="str">
        <x:v>S2 隋炀帝及隋末（605—617）</x:v>
      </x:c>
      <x:c r="B5" s="21" t="n">
        <x:v>2</x:v>
      </x:c>
      <x:c r="C5" s="21" t="n">
        <x:v>0</x:v>
      </x:c>
      <x:c r="D5" s="21" t="n">
        <x:v>2</x:v>
      </x:c>
      <x:c r="E5" s="21" t="n">
        <x:v>0</x:v>
      </x:c>
      <x:c r="F5" s="21" t="n">
        <x:v>0</x:v>
      </x:c>
      <x:c r="G5" s="21" t="n">
        <x:v>0</x:v>
      </x:c>
      <x:c r="H5" s="21" t="n">
        <x:v>0</x:v>
      </x:c>
      <x:c r="I5" s="21" t="n">
        <x:v>0</x:v>
      </x:c>
      <x:c r="J5" s="21" t="n">
        <x:v>1</x:v>
      </x:c>
      <x:c r="K5" s="21" t="n">
        <x:v>0</x:v>
      </x:c>
      <x:c r="L5" s="21" t="n">
        <x:v>5</x:v>
      </x:c>
    </x:row>
    <x:row r="6">
      <x:c r="A6" s="21" t="str">
        <x:v>S3 初唐（618—712）</x:v>
      </x:c>
      <x:c r="B6" s="21" t="n">
        <x:v>4</x:v>
      </x:c>
      <x:c r="C6" s="21" t="n">
        <x:v>6</x:v>
      </x:c>
      <x:c r="D6" s="21" t="n">
        <x:v>6</x:v>
      </x:c>
      <x:c r="E6" s="21" t="n">
        <x:v>3</x:v>
      </x:c>
      <x:c r="F6" s="21" t="n">
        <x:v>0</x:v>
      </x:c>
      <x:c r="G6" s="21" t="n">
        <x:v>0</x:v>
      </x:c>
      <x:c r="H6" s="21" t="n">
        <x:v>3</x:v>
      </x:c>
      <x:c r="I6" s="21" t="n">
        <x:v>2</x:v>
      </x:c>
      <x:c r="J6" s="21" t="n">
        <x:v>0</x:v>
      </x:c>
      <x:c r="K6" s="21" t="n">
        <x:v>0</x:v>
      </x:c>
      <x:c r="L6" s="21" t="n">
        <x:v>24</x:v>
      </x:c>
    </x:row>
    <x:row r="7">
      <x:c r="A7" s="21" t="str">
        <x:v>S4 盛唐（713—755）</x:v>
      </x:c>
      <x:c r="B7" s="21" t="n">
        <x:v>1</x:v>
      </x:c>
      <x:c r="C7" s="21" t="n">
        <x:v>2</x:v>
      </x:c>
      <x:c r="D7" s="21" t="n">
        <x:v>2</x:v>
      </x:c>
      <x:c r="E7" s="21" t="n">
        <x:v>3</x:v>
      </x:c>
      <x:c r="F7" s="21" t="n">
        <x:v>0</x:v>
      </x:c>
      <x:c r="G7" s="21" t="n">
        <x:v>3</x:v>
      </x:c>
      <x:c r="H7" s="21" t="n">
        <x:v>1</x:v>
      </x:c>
      <x:c r="I7" s="21" t="n">
        <x:v>4</x:v>
      </x:c>
      <x:c r="J7" s="21" t="n">
        <x:v>0</x:v>
      </x:c>
      <x:c r="K7" s="21" t="n">
        <x:v>0</x:v>
      </x:c>
      <x:c r="L7" s="21" t="n">
        <x:v>16</x:v>
      </x:c>
    </x:row>
    <x:row r="8">
      <x:c r="A8" s="21" t="str">
        <x:v>S5 安史之乱及恢复（756—779）</x:v>
      </x:c>
      <x:c r="B8" s="21" t="n">
        <x:v>4</x:v>
      </x:c>
      <x:c r="C8" s="21" t="n">
        <x:v>0</x:v>
      </x:c>
      <x:c r="D8" s="21" t="n">
        <x:v>4</x:v>
      </x:c>
      <x:c r="E8" s="21" t="n">
        <x:v>3</x:v>
      </x:c>
      <x:c r="F8" s="21" t="n">
        <x:v>0</x:v>
      </x:c>
      <x:c r="G8" s="21" t="n">
        <x:v>2</x:v>
      </x:c>
      <x:c r="H8" s="21" t="n">
        <x:v>0</x:v>
      </x:c>
      <x:c r="I8" s="21" t="n">
        <x:v>5</x:v>
      </x:c>
      <x:c r="J8" s="21" t="n">
        <x:v>5</x:v>
      </x:c>
      <x:c r="K8" s="21" t="n">
        <x:v>2</x:v>
      </x:c>
      <x:c r="L8" s="21" t="n">
        <x:v>25</x:v>
      </x:c>
    </x:row>
    <x:row r="9">
      <x:c r="A9" s="21" t="str">
        <x:v>S6 中唐（780—835）</x:v>
      </x:c>
      <x:c r="B9" s="21" t="n">
        <x:v>2</x:v>
      </x:c>
      <x:c r="C9" s="21" t="n">
        <x:v>0</x:v>
      </x:c>
      <x:c r="D9" s="21" t="n">
        <x:v>3</x:v>
      </x:c>
      <x:c r="E9" s="21" t="n">
        <x:v>4</x:v>
      </x:c>
      <x:c r="F9" s="21" t="n">
        <x:v>0</x:v>
      </x:c>
      <x:c r="G9" s="21" t="n">
        <x:v>3</x:v>
      </x:c>
      <x:c r="H9" s="21" t="n">
        <x:v>0</x:v>
      </x:c>
      <x:c r="I9" s="21" t="n">
        <x:v>6</x:v>
      </x:c>
      <x:c r="J9" s="21" t="n">
        <x:v>3</x:v>
      </x:c>
      <x:c r="K9" s="21" t="n">
        <x:v>0</x:v>
      </x:c>
      <x:c r="L9" s="21" t="n">
        <x:v>21</x:v>
      </x:c>
    </x:row>
    <x:row r="10">
      <x:c r="A10" s="21" t="str">
        <x:v>S7 晚唐（836—879）</x:v>
      </x:c>
      <x:c r="B10" s="21" t="n">
        <x:v>0</x:v>
      </x:c>
      <x:c r="C10" s="21" t="n">
        <x:v>1</x:v>
      </x:c>
      <x:c r="D10" s="21" t="n">
        <x:v>0</x:v>
      </x:c>
      <x:c r="E10" s="21" t="n">
        <x:v>0</x:v>
      </x:c>
      <x:c r="F10" s="21" t="n">
        <x:v>2</x:v>
      </x:c>
      <x:c r="G10" s="21" t="n">
        <x:v>1</x:v>
      </x:c>
      <x:c r="H10" s="21" t="n">
        <x:v>1</x:v>
      </x:c>
      <x:c r="I10" s="21" t="n">
        <x:v>3</x:v>
      </x:c>
      <x:c r="J10" s="21" t="n">
        <x:v>1</x:v>
      </x:c>
      <x:c r="K10" s="21" t="n">
        <x:v>1</x:v>
      </x:c>
      <x:c r="L10" s="21" t="n">
        <x:v>10</x:v>
      </x:c>
    </x:row>
    <x:row r="11">
      <x:c r="A11" s="21" t="str">
        <x:v>S8 唐末与都城终结（880—907）</x:v>
      </x:c>
      <x:c r="B11" s="21" t="n">
        <x:v>8</x:v>
      </x:c>
      <x:c r="C11" s="21" t="n">
        <x:v>1</x:v>
      </x:c>
      <x:c r="D11" s="21" t="n">
        <x:v>5</x:v>
      </x:c>
      <x:c r="E11" s="21" t="n">
        <x:v>6</x:v>
      </x:c>
      <x:c r="F11" s="21" t="n">
        <x:v>0</x:v>
      </x:c>
      <x:c r="G11" s="21" t="n">
        <x:v>2</x:v>
      </x:c>
      <x:c r="H11" s="21" t="n">
        <x:v>0</x:v>
      </x:c>
      <x:c r="I11" s="21" t="n">
        <x:v>7</x:v>
      </x:c>
      <x:c r="J11" s="21" t="n">
        <x:v>6</x:v>
      </x:c>
      <x:c r="K11" s="21" t="n">
        <x:v>4</x:v>
      </x:c>
      <x:c r="L11" s="21" t="n">
        <x:v>39</x:v>
      </x:c>
    </x:row>
    <x:row r="12">
      <x:c r="A12" s="17" t="str">
        <x:v>主题总计</x:v>
      </x:c>
      <x:c r="B12" s="19" t="n">
        <x:v>22</x:v>
      </x:c>
      <x:c r="C12" s="19" t="n">
        <x:v>12</x:v>
      </x:c>
      <x:c r="D12" s="19" t="n">
        <x:v>23</x:v>
      </x:c>
      <x:c r="E12" s="19" t="n">
        <x:v>21</x:v>
      </x:c>
      <x:c r="F12" s="19" t="n">
        <x:v>5</x:v>
      </x:c>
      <x:c r="G12" s="19" t="n">
        <x:v>13</x:v>
      </x:c>
      <x:c r="H12" s="19" t="n">
        <x:v>5</x:v>
      </x:c>
      <x:c r="I12" s="19" t="n">
        <x:v>29</x:v>
      </x:c>
      <x:c r="J12" s="19" t="n">
        <x:v>16</x:v>
      </x:c>
      <x:c r="K12" s="19" t="n">
        <x:v>7</x:v>
      </x:c>
      <x:c r="L12" s="18" t="n">
        <x:v>153</x:v>
      </x:c>
    </x:row>
    <x:row r="13">
      <x:c r="A13" s="21"/>
      <x:c r="B13" s="21"/>
      <x:c r="C13" s="21"/>
      <x:c r="D13" s="21"/>
      <x:c r="E13" s="21"/>
      <x:c r="F13" s="21"/>
      <x:c r="G13" s="21"/>
      <x:c r="H13" s="21"/>
      <x:c r="I13" s="21"/>
      <x:c r="J13" s="21"/>
      <x:c r="K13" s="21"/>
      <x:c r="L13" s="21"/>
    </x:row>
    <x:row r="14">
      <x:c r="A14" s="21" t="str">
        <x:v>判读规则</x:v>
      </x:c>
      <x:c r="B14" s="21" t="str">
        <x:v>条件</x:v>
      </x:c>
      <x:c r="C14" s="21" t="str">
        <x:v>含义</x:v>
      </x:c>
      <x:c r="D14" s="21" t="str">
        <x:v>处理</x:v>
      </x:c>
      <x:c r="E14" s="21"/>
      <x:c r="F14" s="21"/>
      <x:c r="G14" s="21"/>
      <x:c r="H14" s="21"/>
      <x:c r="I14" s="21"/>
      <x:c r="J14" s="21"/>
      <x:c r="K14" s="21"/>
      <x:c r="L14" s="21"/>
    </x:row>
    <x:row r="15">
      <x:c r="A15" s="21" t="str">
        <x:v>空白</x:v>
      </x:c>
      <x:c r="B15" s="21" t="n">
        <x:v>0</x:v>
      </x:c>
      <x:c r="C15" s="21" t="str">
        <x:v>主题/阶段缺口</x:v>
      </x:c>
      <x:c r="D15" s="21" t="str">
        <x:v>必须专题检索</x:v>
      </x:c>
      <x:c r="E15" s="21"/>
      <x:c r="F15" s="21"/>
      <x:c r="G15" s="21"/>
      <x:c r="H15" s="21"/>
      <x:c r="I15" s="21"/>
      <x:c r="J15" s="21"/>
      <x:c r="K15" s="21"/>
      <x:c r="L15" s="21"/>
    </x:row>
    <x:row r="16">
      <x:c r="A16" s="21" t="str">
        <x:v>低覆盖</x:v>
      </x:c>
      <x:c r="B16" s="21" t="n">
        <x:v>1</x:v>
      </x:c>
      <x:c r="C16" s="21" t="str">
        <x:v>仅一个节点</x:v>
      </x:c>
      <x:c r="D16" s="21" t="str">
        <x:v>检查是否遗漏或过度合并</x:v>
      </x:c>
      <x:c r="E16" s="21"/>
      <x:c r="F16" s="21"/>
      <x:c r="G16" s="21"/>
      <x:c r="H16" s="21"/>
      <x:c r="I16" s="21"/>
      <x:c r="J16" s="21"/>
      <x:c r="K16" s="21"/>
      <x:c r="L16" s="21"/>
    </x:row>
    <x:row r="17">
      <x:c r="A17" s="21" t="str">
        <x:v>适中</x:v>
      </x:c>
      <x:c r="B17" s="21" t="str">
        <x:v>2—4</x:v>
      </x:c>
      <x:c r="C17" s="21" t="str">
        <x:v>已有代表节点</x:v>
      </x:c>
      <x:c r="D17" s="21" t="str">
        <x:v>继续核证质量</x:v>
      </x:c>
      <x:c r="E17" s="21"/>
      <x:c r="F17" s="21"/>
      <x:c r="G17" s="21"/>
      <x:c r="H17" s="21"/>
      <x:c r="I17" s="21"/>
      <x:c r="J17" s="21"/>
      <x:c r="K17" s="21"/>
      <x:c r="L17" s="21"/>
    </x:row>
    <x:row r="18">
      <x:c r="A18" s="21" t="str">
        <x:v>高覆盖</x:v>
      </x:c>
      <x:c r="B18" s="21" t="str">
        <x:v>≥5</x:v>
      </x:c>
      <x:c r="C18" s="21" t="str">
        <x:v>可能事件过密</x:v>
      </x:c>
      <x:c r="D18" s="21" t="str">
        <x:v>检查是否偏科或可合并</x:v>
      </x:c>
      <x:c r="E18" s="21"/>
      <x:c r="F18" s="21"/>
      <x:c r="G18" s="21"/>
      <x:c r="H18" s="21"/>
      <x:c r="I18" s="21"/>
      <x:c r="J18" s="21"/>
      <x:c r="K18" s="21"/>
      <x:c r="L18" s="21"/>
    </x:row>
    <x:row r="19">
      <x:c r="A19" s="21" t="str">
        <x:v>注意</x:v>
      </x:c>
      <x:c r="B19" s="21" t="str">
        <x:v>候选也计数</x:v>
      </x:c>
      <x:c r="C19" s="21" t="str">
        <x:v>不代表已正式覆盖</x:v>
      </x:c>
      <x:c r="D19" s="21" t="str">
        <x:v>最终版须另看已收录矩阵</x:v>
      </x:c>
      <x:c r="E19" s="21"/>
      <x:c r="F19" s="21"/>
      <x:c r="G19" s="21"/>
      <x:c r="H19" s="21"/>
      <x:c r="I19" s="21"/>
      <x:c r="J19" s="21"/>
      <x:c r="K19" s="21"/>
      <x:c r="L19" s="21"/>
    </x:row>
    <x:row r="20">
      <x:c r="A20" s="32" t="str">
        <x:v>更新方式</x:v>
      </x:c>
      <x:c r="B20" s="32" t="str">
        <x:v>由候选池生成</x:v>
      </x:c>
      <x:c r="C20" s="32" t="str">
        <x:v>当前为2026-08-22统计快照</x:v>
      </x:c>
      <x:c r="D20" s="32" t="str">
        <x:v>候选池变更后重新生成矩阵</x:v>
      </x:c>
      <x:c r="E20" s="32"/>
      <x:c r="F20" s="32"/>
      <x:c r="G20" s="32"/>
      <x:c r="H20" s="32"/>
      <x:c r="I20" s="32"/>
      <x:c r="J20" s="32"/>
      <x:c r="K20" s="32"/>
      <x:c r="L20" s="32"/>
    </x:row>
  </x:sheetData>
  <x:mergeCells>
    <x:mergeCell ref="A1:J1"/>
  </x:mergeCells>
  <x:conditionalFormatting sqref="B4:K11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28" hidden="0" customWidth="1"/>
    <x:col min="4" max="4" width="48" hidden="0" customWidth="1"/>
    <x:col min="6" max="6" width="14" hidden="0" customWidth="1"/>
    <x:col min="7" max="7" width="26" hidden="0" customWidth="1"/>
    <x:col min="8" max="8" width="40" hidden="0" customWidth="1"/>
  </x:cols>
  <x:sheetData>
    <x:row r="1">
      <x:c r="A1" s="20" t="str">
        <x:v>合法 event_type 与覆盖主题的关系</x:v>
      </x:c>
      <x:c r="B1" s="20"/>
      <x:c r="C1" s="20"/>
      <x:c r="D1" s="20"/>
      <x:c r="E1" s="20"/>
      <x:c r="F1" s="20"/>
      <x:c r="G1" s="15"/>
      <x:c r="H1" s="15"/>
      <x:c r="I1" s="15"/>
      <x:c r="J1" s="15"/>
      <x:c r="K1" s="15"/>
      <x:c r="L1" s="15"/>
    </x:row>
    <x:row r="2">
      <x:c r="A2" s="16"/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</x:row>
    <x:row r="3">
      <x:c r="A3" s="17" t="str">
        <x:v>event_type</x:v>
      </x:c>
      <x:c r="B3" s="19" t="str">
        <x:v>中文名称</x:v>
      </x:c>
      <x:c r="C3" s="19" t="str">
        <x:v>常见主题代码</x:v>
      </x:c>
      <x:c r="D3" s="18" t="str">
        <x:v>说明</x:v>
      </x:c>
      <x:c r="E3" s="21"/>
      <x:c r="F3" s="17" t="str">
        <x:v>主题代码</x:v>
      </x:c>
      <x:c r="G3" s="19" t="str">
        <x:v>主题名称</x:v>
      </x:c>
      <x:c r="H3" s="18" t="str">
        <x:v>使用边界</x:v>
      </x:c>
      <x:c r="I3" s="16"/>
      <x:c r="J3" s="16"/>
      <x:c r="K3" s="16"/>
      <x:c r="L3" s="16"/>
    </x:row>
    <x:row r="4">
      <x:c r="A4" s="21" t="str">
        <x:v>CITY_FOUNDING</x:v>
      </x:c>
      <x:c r="B4" s="21" t="str">
        <x:v>建城与定都</x:v>
      </x:c>
      <x:c r="C4" s="21" t="str">
        <x:v>T1;T2</x:v>
      </x:c>
      <x:c r="D4" s="21" t="str">
        <x:v>主类型只能选一个；主题可多选，不能把组合主题写回event_type。</x:v>
      </x:c>
      <x:c r="E4" s="21"/>
      <x:c r="F4" s="21" t="str">
        <x:v>T1</x:v>
      </x:c>
      <x:c r="G4" s="21" t="str">
        <x:v>都城地位</x:v>
      </x:c>
      <x:c r="H4" s="21" t="str">
        <x:v>用于项目级覆盖检查，不替代事件类型。</x:v>
      </x:c>
      <x:c r="I4" s="16"/>
      <x:c r="J4" s="16"/>
      <x:c r="K4" s="16"/>
      <x:c r="L4" s="16"/>
    </x:row>
    <x:row r="5">
      <x:c r="A5" s="21" t="str">
        <x:v>URBAN_CONSTRUCTION</x:v>
      </x:c>
      <x:c r="B5" s="21" t="str">
        <x:v>城市建设</x:v>
      </x:c>
      <x:c r="C5" s="21" t="str">
        <x:v>T2;T3;T4;T5;T6;T7</x:v>
      </x:c>
      <x:c r="D5" s="21" t="str">
        <x:v>主类型只能选一个；主题可多选，不能把组合主题写回event_type。</x:v>
      </x:c>
      <x:c r="E5" s="21"/>
      <x:c r="F5" s="21" t="str">
        <x:v>T2</x:v>
      </x:c>
      <x:c r="G5" s="21" t="str">
        <x:v>城市规划与营建</x:v>
      </x:c>
      <x:c r="H5" s="21" t="str">
        <x:v>用于项目级覆盖检查，不替代事件类型。</x:v>
      </x:c>
      <x:c r="I5" s="16"/>
      <x:c r="J5" s="16"/>
      <x:c r="K5" s="16"/>
      <x:c r="L5" s="16"/>
    </x:row>
    <x:row r="6">
      <x:c r="A6" s="21" t="str">
        <x:v>POLITICAL_CHANGE</x:v>
      </x:c>
      <x:c r="B6" s="21" t="str">
        <x:v>政治变局</x:v>
      </x:c>
      <x:c r="C6" s="21" t="str">
        <x:v>T1;T3;T8</x:v>
      </x:c>
      <x:c r="D6" s="21" t="str">
        <x:v>主类型只能选一个；主题可多选，不能把组合主题写回event_type。</x:v>
      </x:c>
      <x:c r="E6" s="21"/>
      <x:c r="F6" s="21" t="str">
        <x:v>T3</x:v>
      </x:c>
      <x:c r="G6" s="21" t="str">
        <x:v>宫城与政治空间</x:v>
      </x:c>
      <x:c r="H6" s="21" t="str">
        <x:v>用于项目级覆盖检查，不替代事件类型。</x:v>
      </x:c>
      <x:c r="I6" s="16"/>
      <x:c r="J6" s="16"/>
      <x:c r="K6" s="16"/>
      <x:c r="L6" s="16"/>
    </x:row>
    <x:row r="7">
      <x:c r="A7" s="21" t="str">
        <x:v>WAR</x:v>
      </x:c>
      <x:c r="B7" s="21" t="str">
        <x:v>战争与动乱</x:v>
      </x:c>
      <x:c r="C7" s="21" t="str">
        <x:v>T1;T3;T4;T8;T9;T10</x:v>
      </x:c>
      <x:c r="D7" s="21" t="str">
        <x:v>主类型只能选一个；主题可多选，不能把组合主题写回event_type。</x:v>
      </x:c>
      <x:c r="E7" s="21"/>
      <x:c r="F7" s="21" t="str">
        <x:v>T4</x:v>
      </x:c>
      <x:c r="G7" s="21" t="str">
        <x:v>道路城门与交通</x:v>
      </x:c>
      <x:c r="H7" s="21" t="str">
        <x:v>用于项目级覆盖检查，不替代事件类型。</x:v>
      </x:c>
      <x:c r="I7" s="16"/>
      <x:c r="J7" s="16"/>
      <x:c r="K7" s="16"/>
      <x:c r="L7" s="16"/>
    </x:row>
    <x:row r="8">
      <x:c r="A8" s="21" t="str">
        <x:v>DISASTER</x:v>
      </x:c>
      <x:c r="B8" s="21" t="str">
        <x:v>灾害</x:v>
      </x:c>
      <x:c r="C8" s="21" t="str">
        <x:v>T5;T8;T9;T10</x:v>
      </x:c>
      <x:c r="D8" s="21" t="str">
        <x:v>主类型只能选一个；主题可多选，不能把组合主题写回event_type。</x:v>
      </x:c>
      <x:c r="E8" s="21"/>
      <x:c r="F8" s="21" t="str">
        <x:v>T5</x:v>
      </x:c>
      <x:c r="G8" s="21" t="str">
        <x:v>水利与供给</x:v>
      </x:c>
      <x:c r="H8" s="21" t="str">
        <x:v>用于项目级覆盖检查，不替代事件类型。</x:v>
      </x:c>
      <x:c r="I8" s="16"/>
      <x:c r="J8" s="16"/>
      <x:c r="K8" s="16"/>
      <x:c r="L8" s="16"/>
    </x:row>
    <x:row r="9">
      <x:c r="A9" s="21" t="str">
        <x:v>TRANSPORT</x:v>
      </x:c>
      <x:c r="B9" s="21" t="str">
        <x:v>交通与交流</x:v>
      </x:c>
      <x:c r="C9" s="21" t="str">
        <x:v>T4;T6;T8</x:v>
      </x:c>
      <x:c r="D9" s="21" t="str">
        <x:v>主类型只能选一个；主题可多选，不能把组合主题写回event_type。</x:v>
      </x:c>
      <x:c r="E9" s="21"/>
      <x:c r="F9" s="21" t="str">
        <x:v>T6</x:v>
      </x:c>
      <x:c r="G9" s="21" t="str">
        <x:v>坊市与商业</x:v>
      </x:c>
      <x:c r="H9" s="21" t="str">
        <x:v>用于项目级覆盖检查，不替代事件类型。</x:v>
      </x:c>
      <x:c r="I9" s="16"/>
      <x:c r="J9" s="16"/>
      <x:c r="K9" s="16"/>
      <x:c r="L9" s="16"/>
    </x:row>
    <x:row r="10">
      <x:c r="A10" s="21" t="str">
        <x:v>SOCIAL_POLICY</x:v>
      </x:c>
      <x:c r="B10" s="21" t="str">
        <x:v>制度与社会</x:v>
      </x:c>
      <x:c r="C10" s="21" t="str">
        <x:v>T5;T6;T7;T8</x:v>
      </x:c>
      <x:c r="D10" s="21" t="str">
        <x:v>主类型只能选一个；主题可多选，不能把组合主题写回event_type。</x:v>
      </x:c>
      <x:c r="E10" s="21"/>
      <x:c r="F10" s="21" t="str">
        <x:v>T7</x:v>
      </x:c>
      <x:c r="G10" s="21" t="str">
        <x:v>宗教空间</x:v>
      </x:c>
      <x:c r="H10" s="21" t="str">
        <x:v>用于项目级覆盖检查，不替代事件类型。</x:v>
      </x:c>
      <x:c r="I10" s="16"/>
      <x:c r="J10" s="16"/>
      <x:c r="K10" s="16"/>
      <x:c r="L10" s="16"/>
    </x:row>
    <x:row r="11">
      <x:c r="A11" s="21" t="str">
        <x:v>CAPITAL_STATUS</x:v>
      </x:c>
      <x:c r="B11" s="21" t="str">
        <x:v>都城地位变化</x:v>
      </x:c>
      <x:c r="C11" s="21" t="str">
        <x:v>T1;T3;T10</x:v>
      </x:c>
      <x:c r="D11" s="21" t="str">
        <x:v>主类型只能选一个；主题可多选，不能把组合主题写回event_type。</x:v>
      </x:c>
      <x:c r="E11" s="21"/>
      <x:c r="F11" s="21" t="str">
        <x:v>T8</x:v>
      </x:c>
      <x:c r="G11" s="21" t="str">
        <x:v>居民生活与社会制度</x:v>
      </x:c>
      <x:c r="H11" s="21" t="str">
        <x:v>用于项目级覆盖检查，不替代事件类型。</x:v>
      </x:c>
      <x:c r="I11" s="16"/>
      <x:c r="J11" s="16"/>
      <x:c r="K11" s="16"/>
      <x:c r="L11" s="16"/>
    </x:row>
    <x:row r="12">
      <x:c r="A12" s="21"/>
      <x:c r="B12" s="21"/>
      <x:c r="C12" s="21"/>
      <x:c r="D12" s="21"/>
      <x:c r="E12" s="21"/>
      <x:c r="F12" s="21" t="str">
        <x:v>T9</x:v>
      </x:c>
      <x:c r="G12" s="21" t="str">
        <x:v>战争灾害与城市安全</x:v>
      </x:c>
      <x:c r="H12" s="21" t="str">
        <x:v>用于项目级覆盖检查，不替代事件类型。</x:v>
      </x:c>
      <x:c r="I12" s="16"/>
      <x:c r="J12" s="16"/>
      <x:c r="K12" s="16"/>
      <x:c r="L12" s="16"/>
    </x:row>
    <x:row r="13">
      <x:c r="A13" s="21"/>
      <x:c r="B13" s="21"/>
      <x:c r="C13" s="21"/>
      <x:c r="D13" s="21"/>
      <x:c r="E13" s="21"/>
      <x:c r="F13" s="21" t="str">
        <x:v>T10</x:v>
      </x:c>
      <x:c r="G13" s="21" t="str">
        <x:v>衰落、破坏与人口迁移</x:v>
      </x:c>
      <x:c r="H13" s="21" t="str">
        <x:v>用于项目级覆盖检查，不替代事件类型。</x:v>
      </x:c>
      <x:c r="I13" s="16"/>
      <x:c r="J13" s="16"/>
      <x:c r="K13" s="16"/>
      <x:c r="L13" s="16"/>
    </x:row>
    <x:row r="14">
      <x:c r="A14" s="21"/>
      <x:c r="B14" s="21"/>
      <x:c r="C14" s="21"/>
      <x:c r="D14" s="21"/>
      <x:c r="E14" s="21"/>
      <x:c r="F14" s="21"/>
      <x:c r="G14" s="21"/>
      <x:c r="H14" s="21"/>
      <x:c r="I14" s="16"/>
      <x:c r="J14" s="16"/>
      <x:c r="K14" s="16"/>
      <x:c r="L14" s="16"/>
    </x:row>
    <x:row r="15">
      <x:c r="A15" s="21"/>
      <x:c r="B15" s="21"/>
      <x:c r="C15" s="21"/>
      <x:c r="D15" s="21"/>
      <x:c r="E15" s="21"/>
      <x:c r="F15" s="21"/>
      <x:c r="G15" s="21"/>
      <x:c r="H15" s="21"/>
      <x:c r="I15" s="16"/>
      <x:c r="J15" s="16"/>
      <x:c r="K15" s="16"/>
      <x:c r="L15" s="16"/>
    </x:row>
    <x:row r="16">
      <x:c r="A16" s="21"/>
      <x:c r="B16" s="21"/>
      <x:c r="C16" s="21"/>
      <x:c r="D16" s="21"/>
      <x:c r="E16" s="21"/>
      <x:c r="F16" s="17" t="str">
        <x:v>阶段代码</x:v>
      </x:c>
      <x:c r="G16" s="19" t="str">
        <x:v>阶段名称</x:v>
      </x:c>
      <x:c r="H16" s="18" t="str">
        <x:v>年份范围</x:v>
      </x:c>
      <x:c r="I16" s="16"/>
      <x:c r="J16" s="16"/>
      <x:c r="K16" s="16"/>
      <x:c r="L16" s="16"/>
    </x:row>
    <x:row r="17">
      <x:c r="A17" s="21"/>
      <x:c r="B17" s="21"/>
      <x:c r="C17" s="21"/>
      <x:c r="D17" s="21"/>
      <x:c r="E17" s="21"/>
      <x:c r="F17" s="21" t="str">
        <x:v>S1</x:v>
      </x:c>
      <x:c r="G17" s="21" t="str">
        <x:v>隋初建城</x:v>
      </x:c>
      <x:c r="H17" s="21" t="str">
        <x:v>581—604</x:v>
      </x:c>
      <x:c r="I17" s="16"/>
      <x:c r="J17" s="16"/>
      <x:c r="K17" s="16"/>
      <x:c r="L17" s="16"/>
    </x:row>
    <x:row r="18">
      <x:c r="A18" s="21"/>
      <x:c r="B18" s="21"/>
      <x:c r="C18" s="21"/>
      <x:c r="D18" s="21"/>
      <x:c r="E18" s="21"/>
      <x:c r="F18" s="21" t="str">
        <x:v>S2</x:v>
      </x:c>
      <x:c r="G18" s="21" t="str">
        <x:v>隋炀帝及隋末</x:v>
      </x:c>
      <x:c r="H18" s="21" t="str">
        <x:v>605—617</x:v>
      </x:c>
      <x:c r="I18" s="16"/>
      <x:c r="J18" s="16"/>
      <x:c r="K18" s="16"/>
      <x:c r="L18" s="16"/>
    </x:row>
    <x:row r="19">
      <x:c r="A19" s="21"/>
      <x:c r="B19" s="21"/>
      <x:c r="C19" s="21"/>
      <x:c r="D19" s="21"/>
      <x:c r="E19" s="21"/>
      <x:c r="F19" s="21" t="str">
        <x:v>S3</x:v>
      </x:c>
      <x:c r="G19" s="21" t="str">
        <x:v>初唐</x:v>
      </x:c>
      <x:c r="H19" s="21" t="str">
        <x:v>618—712</x:v>
      </x:c>
      <x:c r="I19" s="16"/>
      <x:c r="J19" s="16"/>
      <x:c r="K19" s="16"/>
      <x:c r="L19" s="16"/>
    </x:row>
    <x:row r="20">
      <x:c r="A20" s="21"/>
      <x:c r="B20" s="21"/>
      <x:c r="C20" s="21"/>
      <x:c r="D20" s="21"/>
      <x:c r="E20" s="21"/>
      <x:c r="F20" s="21" t="str">
        <x:v>S4</x:v>
      </x:c>
      <x:c r="G20" s="21" t="str">
        <x:v>盛唐</x:v>
      </x:c>
      <x:c r="H20" s="21" t="str">
        <x:v>713—755</x:v>
      </x:c>
      <x:c r="I20" s="16"/>
      <x:c r="J20" s="16"/>
      <x:c r="K20" s="16"/>
      <x:c r="L20" s="16"/>
    </x:row>
    <x:row r="21">
      <x:c r="A21" s="21"/>
      <x:c r="B21" s="21"/>
      <x:c r="C21" s="21"/>
      <x:c r="D21" s="21"/>
      <x:c r="E21" s="21"/>
      <x:c r="F21" s="21" t="str">
        <x:v>S5</x:v>
      </x:c>
      <x:c r="G21" s="21" t="str">
        <x:v>安史之乱及恢复</x:v>
      </x:c>
      <x:c r="H21" s="21" t="str">
        <x:v>756—779</x:v>
      </x:c>
      <x:c r="I21" s="16"/>
      <x:c r="J21" s="16"/>
      <x:c r="K21" s="16"/>
      <x:c r="L21" s="16"/>
    </x:row>
    <x:row r="22">
      <x:c r="A22" s="21"/>
      <x:c r="B22" s="21"/>
      <x:c r="C22" s="21"/>
      <x:c r="D22" s="21"/>
      <x:c r="E22" s="21"/>
      <x:c r="F22" s="21" t="str">
        <x:v>S6</x:v>
      </x:c>
      <x:c r="G22" s="21" t="str">
        <x:v>中唐</x:v>
      </x:c>
      <x:c r="H22" s="21" t="str">
        <x:v>780—835</x:v>
      </x:c>
      <x:c r="I22" s="16"/>
      <x:c r="J22" s="16"/>
      <x:c r="K22" s="16"/>
      <x:c r="L22" s="16"/>
    </x:row>
    <x:row r="23">
      <x:c r="A23" s="21"/>
      <x:c r="B23" s="21"/>
      <x:c r="C23" s="21"/>
      <x:c r="D23" s="21"/>
      <x:c r="E23" s="21"/>
      <x:c r="F23" s="21" t="str">
        <x:v>S7</x:v>
      </x:c>
      <x:c r="G23" s="21" t="str">
        <x:v>晚唐</x:v>
      </x:c>
      <x:c r="H23" s="21" t="str">
        <x:v>836—879</x:v>
      </x:c>
      <x:c r="I23" s="16"/>
      <x:c r="J23" s="16"/>
      <x:c r="K23" s="16"/>
      <x:c r="L23" s="16"/>
    </x:row>
    <x:row r="24">
      <x:c r="A24" s="21"/>
      <x:c r="B24" s="21"/>
      <x:c r="C24" s="21"/>
      <x:c r="D24" s="21"/>
      <x:c r="E24" s="21"/>
      <x:c r="F24" s="21" t="str">
        <x:v>S8</x:v>
      </x:c>
      <x:c r="G24" s="21" t="str">
        <x:v>唐末与都城终结</x:v>
      </x:c>
      <x:c r="H24" s="21" t="str">
        <x:v>880—907</x:v>
      </x:c>
      <x:c r="I24" s="16"/>
      <x:c r="J24" s="16"/>
      <x:c r="K24" s="16"/>
      <x:c r="L24" s="16"/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24" hidden="0" customWidth="1"/>
    <x:col min="4" max="4" width="42" hidden="0" customWidth="1"/>
    <x:col min="5" max="5" width="34" hidden="0" customWidth="1"/>
    <x:col min="6" max="6" width="36" hidden="0" customWidth="1"/>
    <x:col min="7" max="7" width="18" hidden="0" customWidth="1"/>
    <x:col min="8" max="8" width="14" hidden="0" customWidth="1"/>
  </x:cols>
  <x:sheetData>
    <x:row r="1">
      <x:c r="A1" s="35" t="str">
        <x:v>候选事件核证日志（不等于正式大事记）</x:v>
      </x:c>
      <x:c r="B1" s="35"/>
      <x:c r="C1" s="35"/>
      <x:c r="D1" s="35"/>
      <x:c r="E1" s="35"/>
      <x:c r="F1" s="35"/>
      <x:c r="G1" s="35"/>
      <x:c r="H1" s="35"/>
    </x:row>
    <x:row r="3">
      <x:c r="A3" s="41" t="str">
        <x:v>candidate_key</x:v>
      </x:c>
      <x:c r="B3" s="42" t="str">
        <x:v>核证结论</x:v>
      </x:c>
      <x:c r="C3" s="42" t="str">
        <x:v>日期处理</x:v>
      </x:c>
      <x:c r="D3" s="42" t="str">
        <x:v>主要依据</x:v>
      </x:c>
      <x:c r="E3" s="42" t="str">
        <x:v>空间意义</x:v>
      </x:c>
      <x:c r="F3" s="42" t="str">
        <x:v>遗留任务</x:v>
      </x:c>
      <x:c r="G3" s="42" t="str">
        <x:v>是否可直接正式录入</x:v>
      </x:c>
      <x:c r="H3" s="43" t="str">
        <x:v>核证日期</x:v>
      </x:c>
    </x:row>
    <x:row r="4">
      <x:c r="A4" s="23" t="str">
        <x:v>CAND-0002</x:v>
      </x:c>
      <x:c r="B4" s="24" t="str">
        <x:v>初步成立</x:v>
      </x:c>
      <x:c r="C4" s="24" t="str">
        <x:v>龙首渠、永安渠定为583；清明渠仅定开皇初</x:v>
      </x:c>
      <x:c r="D4" s="24" t="str">
        <x:v>《唐两京城坊考》卷四水渠条</x:v>
      </x:c>
      <x:c r="E4" s="24" t="str">
        <x:v>形成宫城、皇城、坊市供水骨架</x:v>
      </x:c>
      <x:c r="F4" s="24" t="str">
        <x:v>补一手文献和考古资料</x:v>
      </x:c>
      <x:c r="G4" s="24" t="str">
        <x:v>否</x:v>
      </x:c>
      <x:c r="H4" s="25" t="str">
        <x:v>2026-08-22</x:v>
      </x:c>
    </x:row>
    <x:row r="5">
      <x:c r="A5" s="26" t="str">
        <x:v>CAND-0005</x:v>
      </x:c>
      <x:c r="B5" s="27" t="str">
        <x:v>成立但宜作前史</x:v>
      </x:c>
      <x:c r="C5" s="27" t="str">
        <x:v>634始置永安宫，635改大明宫</x:v>
      </x:c>
      <x:c r="D5" s="27" t="str">
        <x:v>《唐两京城坊考》卷一；两唐书地理志</x:v>
      </x:c>
      <x:c r="E5" s="27" t="str">
        <x:v>大明宫空间起点</x:v>
      </x:c>
      <x:c r="F5" s="27" t="str">
        <x:v>与662事件比较取舍</x:v>
      </x:c>
      <x:c r="G5" s="27" t="str">
        <x:v>否</x:v>
      </x:c>
      <x:c r="H5" s="28" t="str">
        <x:v>2026-08-22</x:v>
      </x:c>
    </x:row>
    <x:row r="6">
      <x:c r="A6" s="26" t="str">
        <x:v>CAND-0006</x:v>
      </x:c>
      <x:c r="B6" s="27" t="str">
        <x:v>初步成立</x:v>
      </x:c>
      <x:c r="C6" s="27" t="str">
        <x:v>648建寺、652建塔</x:v>
      </x:c>
      <x:c r="D6" s="27" t="str">
        <x:v>《唐两京城坊考》卷三；《旧唐书·玄奘传》</x:v>
      </x:c>
      <x:c r="E6" s="27" t="str">
        <x:v>国家寺院、译经和塔建筑节点</x:v>
      </x:c>
      <x:c r="F6" s="27" t="str">
        <x:v>补塔铭与考古证据</x:v>
      </x:c>
      <x:c r="G6" s="27" t="str">
        <x:v>否</x:v>
      </x:c>
      <x:c r="H6" s="28" t="str">
        <x:v>2026-08-22</x:v>
      </x:c>
    </x:row>
    <x:row r="7">
      <x:c r="A7" s="26" t="str">
        <x:v>CAND-0007</x:v>
      </x:c>
      <x:c r="B7" s="27" t="str">
        <x:v>成立并纠年</x:v>
      </x:c>
      <x:c r="C7" s="27" t="str">
        <x:v>658改为656</x:v>
      </x:c>
      <x:c r="D7" s="27" t="str">
        <x:v>《唐两京城坊考》卷四延康坊</x:v>
      </x:c>
      <x:c r="E7" s="27" t="str">
        <x:v>国家寺院与坊内宗教空间</x:v>
      </x:c>
      <x:c r="F7" s="27" t="str">
        <x:v>补正史原文并评估总量</x:v>
      </x:c>
      <x:c r="G7" s="27" t="str">
        <x:v>否</x:v>
      </x:c>
      <x:c r="H7" s="28" t="str">
        <x:v>2026-08-22</x:v>
      </x:c>
    </x:row>
    <x:row r="8">
      <x:c r="A8" s="26" t="str">
        <x:v>CAND-0008</x:v>
      </x:c>
      <x:c r="B8" s="27" t="str">
        <x:v>核心节点初步成立</x:v>
      </x:c>
      <x:c r="C8" s="27" t="str">
        <x:v>662年以后</x:v>
      </x:c>
      <x:c r="D8" s="27" t="str">
        <x:v>《旧唐书·地理志》；《唐两京城坊考》卷一</x:v>
      </x:c>
      <x:c r="E8" s="27" t="str">
        <x:v>政治中心由太极宫转向大明宫</x:v>
      </x:c>
      <x:c r="F8" s="27" t="str">
        <x:v>补高宗本纪与考古报告</x:v>
      </x:c>
      <x:c r="G8" s="27" t="str">
        <x:v>否</x:v>
      </x:c>
      <x:c r="H8" s="28" t="str">
        <x:v>2026-08-22</x:v>
      </x:c>
    </x:row>
    <x:row r="9">
      <x:c r="A9" s="26" t="str">
        <x:v>CAND-0012</x:v>
      </x:c>
      <x:c r="B9" s="27" t="str">
        <x:v>初步成立</x:v>
      </x:c>
      <x:c r="C9" s="27" t="str">
        <x:v>714</x:v>
      </x:c>
      <x:c r="D9" s="27" t="str">
        <x:v>两唐书玄宗纪；《唐两京城坊考》卷一</x:v>
      </x:c>
      <x:c r="E9" s="27" t="str">
        <x:v>隆庆坊旧邸转为宫苑</x:v>
      </x:c>
      <x:c r="F9" s="27" t="str">
        <x:v>与扩建阶段合并</x:v>
      </x:c>
      <x:c r="G9" s="27" t="str">
        <x:v>否</x:v>
      </x:c>
      <x:c r="H9" s="28" t="str">
        <x:v>2026-08-22</x:v>
      </x:c>
    </x:row>
    <x:row r="10">
      <x:c r="A10" s="26" t="str">
        <x:v>CAND-0013</x:v>
      </x:c>
      <x:c r="B10" s="27" t="str">
        <x:v>初步成立</x:v>
      </x:c>
      <x:c r="C10" s="27" t="str">
        <x:v>726扩建、728始听政</x:v>
      </x:c>
      <x:c r="D10" s="27" t="str">
        <x:v>《旧唐书·玄宗纪》；《唐两京城坊考》卷一</x:v>
      </x:c>
      <x:c r="E10" s="27" t="str">
        <x:v>兴庆宫成为政治空间</x:v>
      </x:c>
      <x:c r="F10" s="27" t="str">
        <x:v>与714事件合并并补考古</x:v>
      </x:c>
      <x:c r="G10" s="27" t="str">
        <x:v>否</x:v>
      </x:c>
      <x:c r="H10" s="28" t="str">
        <x:v>2026-08-22</x:v>
      </x:c>
    </x:row>
    <x:row r="11">
      <x:c r="A11" s="26" t="str">
        <x:v>CAND-0025</x:v>
      </x:c>
      <x:c r="B11" s="27" t="str">
        <x:v>核心节点初步成立</x:v>
      </x:c>
      <x:c r="C11" s="27" t="str">
        <x:v>定为845</x:v>
      </x:c>
      <x:c r="D11" s="27" t="str">
        <x:v>两唐书武宗纪；《唐两京城坊考》卷三</x:v>
      </x:c>
      <x:c r="E11" s="27" t="str">
        <x:v>长安寺院和僧尼空间重组</x:v>
      </x:c>
      <x:c r="F11" s="27" t="str">
        <x:v>补《资治通鉴》与具体数量</x:v>
      </x:c>
      <x:c r="G11" s="27" t="str">
        <x:v>否</x:v>
      </x:c>
      <x:c r="H11" s="28" t="str">
        <x:v>2026-08-22</x:v>
      </x:c>
    </x:row>
    <x:row r="12">
      <x:c r="A12" s="29" t="str">
        <x:v>CAND-0026</x:v>
      </x:c>
      <x:c r="B12" s="30" t="str">
        <x:v>原候选撤销并替换</x:v>
      </x:c>
      <x:c r="C12" s="30" t="str">
        <x:v>860年代撤销；改为797</x:v>
      </x:c>
      <x:c r="D12" s="30" t="str">
        <x:v>《旧唐书·德宗纪》；《唐两京城坊考》卷四</x:v>
      </x:c>
      <x:c r="E12" s="30" t="str">
        <x:v>龙首渠支流延伸至太清宫</x:v>
      </x:c>
      <x:c r="F12" s="30" t="str">
        <x:v>补《唐会要》和渠线研究</x:v>
      </x:c>
      <x:c r="G12" s="30" t="str">
        <x:v>否</x:v>
      </x:c>
      <x:c r="H12" s="31" t="str">
        <x:v>2026-08-22</x:v>
      </x:c>
    </x:row>
  </x:sheetData>
  <x:mergeCells>
    <x:mergeCell ref="A1:H1"/>
  </x:mergeCells>
  <x:conditionalFormatting sqref="G4:G12">
    <x:cfRule type="containsText" dxfId="2" priority="1" operator="containsText" text="否"/>
  </x:conditionalFormatting>
  <x:dataValidations count="1">
    <x:dataValidation type="list" sqref="G4:G12">
      <x:formula1>"是,否"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" hidden="0" customWidth="1"/>
    <x:col min="3" max="3" width="22" hidden="0" customWidth="1"/>
    <x:col min="4" max="4" width="38" hidden="0" customWidth="1"/>
    <x:col min="5" max="5" width="18" hidden="0" customWidth="1"/>
    <x:col min="6" max="6" width="18" hidden="0" customWidth="1"/>
    <x:col min="7" max="7" width="28" hidden="0" customWidth="1"/>
    <x:col min="8" max="8" width="12" hidden="0" customWidth="1"/>
    <x:col min="9" max="9" width="34" hidden="0" customWidth="1"/>
    <x:col min="10" max="10" width="14" hidden="0" customWidth="1"/>
    <x:col min="11" max="11" width="14" hidden="0" customWidth="1"/>
    <x:col min="12" max="12" width="42" hidden="0" customWidth="1"/>
  </x:cols>
  <x:sheetData>
    <x:row r="1">
      <x:c r="A1" s="64" t="str">
        <x:v>25条已审核正式事件的阶段与主题映射</x:v>
      </x:c>
      <x:c r="B1" s="64"/>
      <x:c r="C1" s="64"/>
      <x:c r="D1" s="64"/>
      <x:c r="E1" s="64"/>
      <x:c r="F1" s="64"/>
      <x:c r="G1" s="64"/>
      <x:c r="H1" s="64"/>
      <x:c r="I1" s="64"/>
      <x:c r="J1" s="64"/>
      <x:c r="K1" s="64"/>
      <x:c r="L1" s="64"/>
    </x:row>
    <x:row r="2">
      <x:c r="A2" s="16"/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</x:row>
    <x:row r="3">
      <x:c r="A3" s="73" t="str">
        <x:v>timeline_key</x:v>
      </x:c>
      <x:c r="B3" s="74" t="str">
        <x:v>ce_year</x:v>
      </x:c>
      <x:c r="C3" s="74" t="str">
        <x:v>date_display</x:v>
      </x:c>
      <x:c r="D3" s="74" t="str">
        <x:v>event_name</x:v>
      </x:c>
      <x:c r="E3" s="74" t="str">
        <x:v>stage_code</x:v>
      </x:c>
      <x:c r="F3" s="74" t="str">
        <x:v>event_type</x:v>
      </x:c>
      <x:c r="G3" s="74" t="str">
        <x:v>coverage_theme_codes</x:v>
      </x:c>
      <x:c r="H3" s="74" t="str">
        <x:v>review_status</x:v>
      </x:c>
      <x:c r="I3" s="74" t="str">
        <x:v>chunk_keys</x:v>
      </x:c>
      <x:c r="J3" s="74" t="str">
        <x:v>evidence_count</x:v>
      </x:c>
      <x:c r="K3" s="74" t="str">
        <x:v>source_key</x:v>
      </x:c>
      <x:c r="L3" s="75" t="str">
        <x:v>mapping_note</x:v>
      </x:c>
    </x:row>
    <x:row r="4">
      <x:c r="A4" s="23" t="str">
        <x:v>TC-TIMELINE-0001</x:v>
      </x:c>
      <x:c r="B4" s="24" t="n">
        <x:v>582</x:v>
      </x:c>
      <x:c r="C4" s="24" t="str">
        <x:v>582—583年（开皇二年至三年）</x:v>
      </x:c>
      <x:c r="D4" s="24" t="str">
        <x:v>营建大兴城并迁入新都</x:v>
      </x:c>
      <x:c r="E4" s="24" t="str">
        <x:v>S1</x:v>
      </x:c>
      <x:c r="F4" s="24" t="str">
        <x:v>CITY_FOUNDING</x:v>
      </x:c>
      <x:c r="G4" s="24" t="str">
        <x:v>T1;T2;T3;T4;T5;T6</x:v>
      </x:c>
      <x:c r="H4" s="24" t="str">
        <x:v>通过</x:v>
      </x:c>
      <x:c r="I4" s="24" t="str">
        <x:v>TC-CHUNK-2112;TC-CHUNK-2184;TC-CHUNK-2185;TC-CHUNK-2186</x:v>
      </x:c>
      <x:c r="J4" s="24" t="n">
        <x:f>IF(I4="","",LEN(I4)-LEN(SUBSTITUTE(I4,";",""))+1)</x:f>
        <x:v>4</x:v>
      </x:c>
      <x:c r="K4" s="24" t="str">
        <x:v>TC-REF-0206</x:v>
      </x:c>
      <x:c r="L4" s="25" t="str">
        <x:v>主题映射依据事件摘要、历史意义、居民影响及空间实体综合判定；不等同event_type。</x:v>
      </x:c>
    </x:row>
    <x:row r="5">
      <x:c r="A5" s="26" t="str">
        <x:v>TC-TIMELINE-0015</x:v>
      </x:c>
      <x:c r="B5" s="27" t="n">
        <x:v>584</x:v>
      </x:c>
      <x:c r="C5" s="27" t="str">
        <x:v>584年（开皇四年六月）</x:v>
      </x:c>
      <x:c r="D5" s="27" t="str">
        <x:v>开凿广通渠改善大兴城漕运</x:v>
      </x:c>
      <x:c r="E5" s="27" t="str">
        <x:v>S1</x:v>
      </x:c>
      <x:c r="F5" s="27" t="str">
        <x:v>TRANSPORT</x:v>
      </x:c>
      <x:c r="G5" s="27" t="str">
        <x:v>T4;T5;T6;T8</x:v>
      </x:c>
      <x:c r="H5" s="27" t="str">
        <x:v>通过</x:v>
      </x:c>
      <x:c r="I5" s="27" t="str">
        <x:v>TC-CHUNK-2214</x:v>
      </x:c>
      <x:c r="J5" s="27" t="n">
        <x:f>IF(I5="","",LEN(I5)-LEN(SUBSTITUTE(I5,";",""))+1)</x:f>
        <x:v>1</x:v>
      </x:c>
      <x:c r="K5" s="27" t="str">
        <x:v>TC-REF-0203</x:v>
      </x:c>
      <x:c r="L5" s="28" t="str">
        <x:v>主题映射依据事件摘要、历史意义、居民影响及空间实体综合判定；不等同event_type。</x:v>
      </x:c>
    </x:row>
    <x:row r="6">
      <x:c r="A6" s="26" t="str">
        <x:v>TC-TIMELINE-0002</x:v>
      </x:c>
      <x:c r="B6" s="27" t="n">
        <x:v>617</x:v>
      </x:c>
      <x:c r="C6" s="27" t="str">
        <x:v>617—618年（义宁元年至武德元年）</x:v>
      </x:c>
      <x:c r="D6" s="27" t="str">
        <x:v>李渊攻占长安并建立唐朝</x:v>
      </x:c>
      <x:c r="E6" s="27" t="str">
        <x:v>S2</x:v>
      </x:c>
      <x:c r="F6" s="27" t="str">
        <x:v>CITY_FOUNDING</x:v>
      </x:c>
      <x:c r="G6" s="27" t="str">
        <x:v>T1;T3;T9</x:v>
      </x:c>
      <x:c r="H6" s="27" t="str">
        <x:v>通过</x:v>
      </x:c>
      <x:c r="I6" s="27" t="str">
        <x:v>TC-CHUNK-2113;TC-CHUNK-2172;TC-CHUNK-2189;TC-CHUNK-2190;TC-CHUNK-2191</x:v>
      </x:c>
      <x:c r="J6" s="27" t="n">
        <x:f>IF(I6="","",LEN(I6)-LEN(SUBSTITUTE(I6,";",""))+1)</x:f>
        <x:v>5</x:v>
      </x:c>
      <x:c r="K6" s="27" t="str">
        <x:v>TC-REF-0204</x:v>
      </x:c>
      <x:c r="L6" s="28" t="str">
        <x:v>主题映射依据事件摘要、历史意义、居民影响及空间实体综合判定；不等同event_type。</x:v>
      </x:c>
    </x:row>
    <x:row r="7">
      <x:c r="A7" s="26" t="str">
        <x:v>TC-TIMELINE-0003</x:v>
      </x:c>
      <x:c r="B7" s="27" t="n">
        <x:v>626</x:v>
      </x:c>
      <x:c r="C7" s="27" t="str">
        <x:v>626年（武德九年六月初四）</x:v>
      </x:c>
      <x:c r="D7" s="27" t="str">
        <x:v>玄武门之变</x:v>
      </x:c>
      <x:c r="E7" s="27" t="str">
        <x:v>S3</x:v>
      </x:c>
      <x:c r="F7" s="27" t="str">
        <x:v>POLITICAL_CHANGE</x:v>
      </x:c>
      <x:c r="G7" s="27" t="str">
        <x:v>T3;T4</x:v>
      </x:c>
      <x:c r="H7" s="27" t="str">
        <x:v>通过</x:v>
      </x:c>
      <x:c r="I7" s="27" t="str">
        <x:v>TC-CHUNK-2114;TC-CHUNK-2173;TC-CHUNK-2192;TC-CHUNK-2193</x:v>
      </x:c>
      <x:c r="J7" s="27" t="n">
        <x:f>IF(I7="","",LEN(I7)-LEN(SUBSTITUTE(I7,";",""))+1)</x:f>
        <x:v>4</x:v>
      </x:c>
      <x:c r="K7" s="27" t="str">
        <x:v>TC-REF-0204</x:v>
      </x:c>
      <x:c r="L7" s="28" t="str">
        <x:v>主题映射依据事件摘要、历史意义、居民影响及空间实体综合判定；不等同event_type。</x:v>
      </x:c>
    </x:row>
    <x:row r="8">
      <x:c r="A8" s="26" t="str">
        <x:v>TC-TIMELINE-0011</x:v>
      </x:c>
      <x:c r="B8" s="27" t="n">
        <x:v>648</x:v>
      </x:c>
      <x:c r="C8" s="27" t="str">
        <x:v>648—652年（贞观二十二年至永徽三年）</x:v>
      </x:c>
      <x:c r="D8" s="27" t="str">
        <x:v>大慈恩寺建立与大雁塔初建</x:v>
      </x:c>
      <x:c r="E8" s="27" t="str">
        <x:v>S3</x:v>
      </x:c>
      <x:c r="F8" s="27" t="str">
        <x:v>URBAN_CONSTRUCTION</x:v>
      </x:c>
      <x:c r="G8" s="27" t="str">
        <x:v>T2;T7;T8</x:v>
      </x:c>
      <x:c r="H8" s="27" t="str">
        <x:v>通过</x:v>
      </x:c>
      <x:c r="I8" s="27" t="str">
        <x:v>TC-CHUNK-2204;TC-CHUNK-2205</x:v>
      </x:c>
      <x:c r="J8" s="27" t="n">
        <x:f>IF(I8="","",LEN(I8)-LEN(SUBSTITUTE(I8,";",""))+1)</x:f>
        <x:v>2</x:v>
      </x:c>
      <x:c r="K8" s="27" t="str">
        <x:v>TC-REF-0204</x:v>
      </x:c>
      <x:c r="L8" s="28" t="str">
        <x:v>主题映射依据事件摘要、历史意义、居民影响及空间实体综合判定；不等同event_type。</x:v>
      </x:c>
    </x:row>
    <x:row r="9">
      <x:c r="A9" s="26" t="str">
        <x:v>TC-TIMELINE-0012</x:v>
      </x:c>
      <x:c r="B9" s="27" t="n">
        <x:v>662</x:v>
      </x:c>
      <x:c r="C9" s="27" t="str">
        <x:v>662年以后（龙朔二年以后）</x:v>
      </x:c>
      <x:c r="D9" s="27" t="str">
        <x:v>扩建大明宫并形成新的政治中心</x:v>
      </x:c>
      <x:c r="E9" s="27" t="str">
        <x:v>S3</x:v>
      </x:c>
      <x:c r="F9" s="27" t="str">
        <x:v>URBAN_CONSTRUCTION</x:v>
      </x:c>
      <x:c r="G9" s="27" t="str">
        <x:v>T1;T2;T3;T4</x:v>
      </x:c>
      <x:c r="H9" s="27" t="str">
        <x:v>通过</x:v>
      </x:c>
      <x:c r="I9" s="27" t="str">
        <x:v>TC-CHUNK-2206;TC-CHUNK-2207</x:v>
      </x:c>
      <x:c r="J9" s="27" t="n">
        <x:f>IF(I9="","",LEN(I9)-LEN(SUBSTITUTE(I9,";",""))+1)</x:f>
        <x:v>2</x:v>
      </x:c>
      <x:c r="K9" s="27" t="str">
        <x:v>TC-REF-0204</x:v>
      </x:c>
      <x:c r="L9" s="28" t="str">
        <x:v>主题映射依据事件摘要、历史意义、居民影响及空间实体综合判定；不等同event_type。</x:v>
      </x:c>
    </x:row>
    <x:row r="10">
      <x:c r="A10" s="26" t="str">
        <x:v>TC-TIMELINE-0004</x:v>
      </x:c>
      <x:c r="B10" s="27" t="n">
        <x:v>690</x:v>
      </x:c>
      <x:c r="C10" s="27" t="str">
        <x:v>690年（天授元年九月初九）</x:v>
      </x:c>
      <x:c r="D10" s="27" t="str">
        <x:v>武则天改唐为周</x:v>
      </x:c>
      <x:c r="E10" s="27" t="str">
        <x:v>S3</x:v>
      </x:c>
      <x:c r="F10" s="27" t="str">
        <x:v>CAPITAL_STATUS</x:v>
      </x:c>
      <x:c r="G10" s="27" t="str">
        <x:v>T1;T3</x:v>
      </x:c>
      <x:c r="H10" s="27" t="str">
        <x:v>通过</x:v>
      </x:c>
      <x:c r="I10" s="27" t="str">
        <x:v>TC-CHUNK-2115;TC-CHUNK-2174;TC-CHUNK-2194;TC-CHUNK-2195</x:v>
      </x:c>
      <x:c r="J10" s="27" t="n">
        <x:f>IF(I10="","",LEN(I10)-LEN(SUBSTITUTE(I10,";",""))+1)</x:f>
        <x:v>4</x:v>
      </x:c>
      <x:c r="K10" s="27" t="str">
        <x:v>TC-REF-0204</x:v>
      </x:c>
      <x:c r="L10" s="28" t="str">
        <x:v>主题映射依据事件摘要、历史意义、居民影响及空间实体综合判定；不等同event_type。</x:v>
      </x:c>
    </x:row>
    <x:row r="11">
      <x:c r="A11" s="26" t="str">
        <x:v>TC-TIMELINE-0016</x:v>
      </x:c>
      <x:c r="B11" s="27" t="n">
        <x:v>705</x:v>
      </x:c>
      <x:c r="C11" s="27" t="str">
        <x:v>705—706年（神龙元年至二年）</x:v>
      </x:c>
      <x:c r="D11" s="27" t="str">
        <x:v>中宗复唐并返回长安</x:v>
      </x:c>
      <x:c r="E11" s="27" t="str">
        <x:v>S3</x:v>
      </x:c>
      <x:c r="F11" s="27" t="str">
        <x:v>CAPITAL_STATUS</x:v>
      </x:c>
      <x:c r="G11" s="27" t="str">
        <x:v>T1;T3</x:v>
      </x:c>
      <x:c r="H11" s="27" t="str">
        <x:v>通过</x:v>
      </x:c>
      <x:c r="I11" s="27" t="str">
        <x:v>TC-CHUNK-2215;TC-CHUNK-2216;TC-CHUNK-2217</x:v>
      </x:c>
      <x:c r="J11" s="27" t="n">
        <x:f>IF(I11="","",LEN(I11)-LEN(SUBSTITUTE(I11,";",""))+1)</x:f>
        <x:v>3</x:v>
      </x:c>
      <x:c r="K11" s="27" t="str">
        <x:v>TC-REF-0204</x:v>
      </x:c>
      <x:c r="L11" s="28" t="str">
        <x:v>主题映射依据事件摘要、历史意义、居民影响及空间实体综合判定；不等同event_type。</x:v>
      </x:c>
    </x:row>
    <x:row r="12">
      <x:c r="A12" s="26" t="str">
        <x:v>TC-TIMELINE-0013</x:v>
      </x:c>
      <x:c r="B12" s="27" t="n">
        <x:v>714</x:v>
      </x:c>
      <x:c r="C12" s="27" t="str">
        <x:v>714—728年（开元二年至十六年）</x:v>
      </x:c>
      <x:c r="D12" s="27" t="str">
        <x:v>兴庆宫建立、扩建并开始听政</x:v>
      </x:c>
      <x:c r="E12" s="27" t="str">
        <x:v>S4</x:v>
      </x:c>
      <x:c r="F12" s="27" t="str">
        <x:v>URBAN_CONSTRUCTION</x:v>
      </x:c>
      <x:c r="G12" s="27" t="str">
        <x:v>T1;T2;T3;T4;T8</x:v>
      </x:c>
      <x:c r="H12" s="27" t="str">
        <x:v>通过</x:v>
      </x:c>
      <x:c r="I12" s="27" t="str">
        <x:v>TC-CHUNK-2208;TC-CHUNK-2209;TC-CHUNK-2210</x:v>
      </x:c>
      <x:c r="J12" s="27" t="n">
        <x:f>IF(I12="","",LEN(I12)-LEN(SUBSTITUTE(I12,";",""))+1)</x:f>
        <x:v>3</x:v>
      </x:c>
      <x:c r="K12" s="27" t="str">
        <x:v>TC-REF-0204</x:v>
      </x:c>
      <x:c r="L12" s="28" t="str">
        <x:v>主题映射依据事件摘要、历史意义、居民影响及空间实体综合判定；不等同event_type。</x:v>
      </x:c>
    </x:row>
    <x:row r="13">
      <x:c r="A13" s="26" t="str">
        <x:v>TC-TIMELINE-0021</x:v>
      </x:c>
      <x:c r="B13" s="27" t="n">
        <x:v>733</x:v>
      </x:c>
      <x:c r="C13" s="27" t="str">
        <x:v>733年（开元二十一年）</x:v>
      </x:c>
      <x:c r="D13" s="27" t="str">
        <x:v>关中久雨致京师饥，太仓赈粮并推动漕运改革</x:v>
      </x:c>
      <x:c r="E13" s="27" t="str">
        <x:v>S4</x:v>
      </x:c>
      <x:c r="F13" s="27" t="str">
        <x:v>DISASTER</x:v>
      </x:c>
      <x:c r="G13" s="27" t="str">
        <x:v>T4;T5;T6;T8;T9</x:v>
      </x:c>
      <x:c r="H13" s="27" t="str">
        <x:v>通过</x:v>
      </x:c>
      <x:c r="I13" s="27" t="str">
        <x:v>TC-CHUNK-2230;TC-CHUNK-2231;TC-CHUNK-2232</x:v>
      </x:c>
      <x:c r="J13" s="27" t="n">
        <x:f>IF(I13="","",LEN(I13)-LEN(SUBSTITUTE(I13,";",""))+1)</x:f>
        <x:v>3</x:v>
      </x:c>
      <x:c r="K13" s="27" t="str">
        <x:v>TC-REF-0203</x:v>
      </x:c>
      <x:c r="L13" s="28" t="str">
        <x:v>主题映射依据事件摘要、历史意义、居民影响及空间实体综合判定；不等同event_type。</x:v>
      </x:c>
    </x:row>
    <x:row r="14">
      <x:c r="A14" s="26" t="str">
        <x:v>TC-TIMELINE-0005</x:v>
      </x:c>
      <x:c r="B14" s="27" t="n">
        <x:v>756</x:v>
      </x:c>
      <x:c r="C14" s="27" t="str">
        <x:v>756年（天宝十五载／至德元载）</x:v>
      </x:c>
      <x:c r="D14" s="27" t="str">
        <x:v>安史之乱中长安陷落</x:v>
      </x:c>
      <x:c r="E14" s="27" t="str">
        <x:v>S5</x:v>
      </x:c>
      <x:c r="F14" s="27" t="str">
        <x:v>WAR</x:v>
      </x:c>
      <x:c r="G14" s="27" t="str">
        <x:v>T1;T3;T4;T6;T8;T9;T10</x:v>
      </x:c>
      <x:c r="H14" s="27" t="str">
        <x:v>通过</x:v>
      </x:c>
      <x:c r="I14" s="27" t="str">
        <x:v>TC-CHUNK-2116;TC-CHUNK-2175;TC-CHUNK-2181;TC-CHUNK-2187;TC-CHUNK-2188</x:v>
      </x:c>
      <x:c r="J14" s="27" t="n">
        <x:f>IF(I14="","",LEN(I14)-LEN(SUBSTITUTE(I14,";",""))+1)</x:f>
        <x:v>5</x:v>
      </x:c>
      <x:c r="K14" s="27" t="str">
        <x:v>TC-REF-0203</x:v>
      </x:c>
      <x:c r="L14" s="28" t="str">
        <x:v>主题映射依据事件摘要、历史意义、居民影响及空间实体综合判定；不等同event_type。</x:v>
      </x:c>
    </x:row>
    <x:row r="15">
      <x:c r="A15" s="26" t="str">
        <x:v>TC-TIMELINE-0017</x:v>
      </x:c>
      <x:c r="B15" s="27" t="n">
        <x:v>757</x:v>
      </x:c>
      <x:c r="C15" s="27" t="str">
        <x:v>757年（至德二载九月至十月）</x:v>
      </x:c>
      <x:c r="D15" s="27" t="str">
        <x:v>唐军收复长安并恢复朝廷驻京</x:v>
      </x:c>
      <x:c r="E15" s="27" t="str">
        <x:v>S5</x:v>
      </x:c>
      <x:c r="F15" s="27" t="str">
        <x:v>WAR</x:v>
      </x:c>
      <x:c r="G15" s="27" t="str">
        <x:v>T1;T3;T4;T8;T9</x:v>
      </x:c>
      <x:c r="H15" s="27" t="str">
        <x:v>通过</x:v>
      </x:c>
      <x:c r="I15" s="27" t="str">
        <x:v>TC-CHUNK-2218;TC-CHUNK-2219;TC-CHUNK-2220</x:v>
      </x:c>
      <x:c r="J15" s="27" t="n">
        <x:f>IF(I15="","",LEN(I15)-LEN(SUBSTITUTE(I15,";",""))+1)</x:f>
        <x:v>3</x:v>
      </x:c>
      <x:c r="K15" s="27" t="str">
        <x:v>TC-REF-0204</x:v>
      </x:c>
      <x:c r="L15" s="28" t="str">
        <x:v>主题映射依据事件摘要、历史意义、居民影响及空间实体综合判定；不等同event_type。</x:v>
      </x:c>
    </x:row>
    <x:row r="16">
      <x:c r="A16" s="26" t="str">
        <x:v>TC-TIMELINE-0006</x:v>
      </x:c>
      <x:c r="B16" s="27" t="n">
        <x:v>763</x:v>
      </x:c>
      <x:c r="C16" s="27" t="str">
        <x:v>763年（广德元年十月十四日）</x:v>
      </x:c>
      <x:c r="D16" s="27" t="str">
        <x:v>吐蕃攻占长安</x:v>
      </x:c>
      <x:c r="E16" s="27" t="str">
        <x:v>S5</x:v>
      </x:c>
      <x:c r="F16" s="27" t="str">
        <x:v>WAR</x:v>
      </x:c>
      <x:c r="G16" s="27" t="str">
        <x:v>T1;T3;T6;T8;T9;T10</x:v>
      </x:c>
      <x:c r="H16" s="27" t="str">
        <x:v>通过</x:v>
      </x:c>
      <x:c r="I16" s="27" t="str">
        <x:v>TC-CHUNK-2117;TC-CHUNK-2176;TC-CHUNK-2196;TC-CHUNK-2197</x:v>
      </x:c>
      <x:c r="J16" s="27" t="n">
        <x:f>IF(I16="","",LEN(I16)-LEN(SUBSTITUTE(I16,";",""))+1)</x:f>
        <x:v>4</x:v>
      </x:c>
      <x:c r="K16" s="27" t="str">
        <x:v>TC-REF-0204</x:v>
      </x:c>
      <x:c r="L16" s="28" t="str">
        <x:v>主题映射依据事件摘要、历史意义、居民影响及空间实体综合判定；不等同event_type。</x:v>
      </x:c>
    </x:row>
    <x:row r="17">
      <x:c r="A17" s="26" t="str">
        <x:v>TC-TIMELINE-0007</x:v>
      </x:c>
      <x:c r="B17" s="27" t="n">
        <x:v>783</x:v>
      </x:c>
      <x:c r="C17" s="27" t="str">
        <x:v>783年（建中四年十月初二）</x:v>
      </x:c>
      <x:c r="D17" s="27" t="str">
        <x:v>泾原兵变</x:v>
      </x:c>
      <x:c r="E17" s="27" t="str">
        <x:v>S6</x:v>
      </x:c>
      <x:c r="F17" s="27" t="str">
        <x:v>WAR</x:v>
      </x:c>
      <x:c r="G17" s="27" t="str">
        <x:v>T1;T3;T4;T8;T9</x:v>
      </x:c>
      <x:c r="H17" s="27" t="str">
        <x:v>通过</x:v>
      </x:c>
      <x:c r="I17" s="27" t="str">
        <x:v>TC-CHUNK-2118;TC-CHUNK-2177;TC-CHUNK-2198;TC-CHUNK-2199</x:v>
      </x:c>
      <x:c r="J17" s="27" t="n">
        <x:f>IF(I17="","",LEN(I17)-LEN(SUBSTITUTE(I17,";",""))+1)</x:f>
        <x:v>4</x:v>
      </x:c>
      <x:c r="K17" s="27" t="str">
        <x:v>TC-REF-0204</x:v>
      </x:c>
      <x:c r="L17" s="28" t="str">
        <x:v>主题映射依据事件摘要、历史意义、居民影响及空间实体综合判定；不等同event_type。</x:v>
      </x:c>
    </x:row>
    <x:row r="18">
      <x:c r="A18" s="26" t="str">
        <x:v>TC-TIMELINE-0018</x:v>
      </x:c>
      <x:c r="B18" s="27" t="n">
        <x:v>784</x:v>
      </x:c>
      <x:c r="C18" s="27" t="str">
        <x:v>784年（兴元元年五月二十八日）</x:v>
      </x:c>
      <x:c r="D18" s="27" t="str">
        <x:v>李晟收复长安并恢复城市秩序</x:v>
      </x:c>
      <x:c r="E18" s="27" t="str">
        <x:v>S6</x:v>
      </x:c>
      <x:c r="F18" s="27" t="str">
        <x:v>WAR</x:v>
      </x:c>
      <x:c r="G18" s="27" t="str">
        <x:v>T1;T3;T4;T8;T9</x:v>
      </x:c>
      <x:c r="H18" s="27" t="str">
        <x:v>通过</x:v>
      </x:c>
      <x:c r="I18" s="27" t="str">
        <x:v>TC-CHUNK-2221;TC-CHUNK-2222;TC-CHUNK-2223</x:v>
      </x:c>
      <x:c r="J18" s="27" t="n">
        <x:f>IF(I18="","",LEN(I18)-LEN(SUBSTITUTE(I18,";",""))+1)</x:f>
        <x:v>3</x:v>
      </x:c>
      <x:c r="K18" s="27" t="str">
        <x:v>TC-REF-0204</x:v>
      </x:c>
      <x:c r="L18" s="28" t="str">
        <x:v>主题映射依据事件摘要、历史意义、居民影响及空间实体综合判定；不等同event_type。</x:v>
      </x:c>
    </x:row>
    <x:row r="19">
      <x:c r="A19" s="26" t="str">
        <x:v>TC-TIMELINE-0019</x:v>
      </x:c>
      <x:c r="B19" s="27" t="n">
        <x:v>835</x:v>
      </x:c>
      <x:c r="C19" s="27" t="str">
        <x:v>835年（太和九年十一月二十一日）</x:v>
      </x:c>
      <x:c r="D19" s="27" t="str">
        <x:v>甘露之变及神策军大搜捕</x:v>
      </x:c>
      <x:c r="E19" s="27" t="str">
        <x:v>S6</x:v>
      </x:c>
      <x:c r="F19" s="27" t="str">
        <x:v>POLITICAL_CHANGE</x:v>
      </x:c>
      <x:c r="G19" s="27" t="str">
        <x:v>T3;T4;T8;T9</x:v>
      </x:c>
      <x:c r="H19" s="27" t="str">
        <x:v>通过</x:v>
      </x:c>
      <x:c r="I19" s="27" t="str">
        <x:v>TC-CHUNK-2224;TC-CHUNK-2225;TC-CHUNK-2226</x:v>
      </x:c>
      <x:c r="J19" s="27" t="n">
        <x:f>IF(I19="","",LEN(I19)-LEN(SUBSTITUTE(I19,";",""))+1)</x:f>
        <x:v>3</x:v>
      </x:c>
      <x:c r="K19" s="27" t="str">
        <x:v>TC-REF-0203</x:v>
      </x:c>
      <x:c r="L19" s="28" t="str">
        <x:v>主题映射依据事件摘要、历史意义、居民影响及空间实体综合判定；不等同event_type。</x:v>
      </x:c>
    </x:row>
    <x:row r="20">
      <x:c r="A20" s="26" t="str">
        <x:v>TC-TIMELINE-0014</x:v>
      </x:c>
      <x:c r="B20" s="27" t="n">
        <x:v>845</x:v>
      </x:c>
      <x:c r="C20" s="27" t="str">
        <x:v>845年（会昌五年）</x:v>
      </x:c>
      <x:c r="D20" s="27" t="str">
        <x:v>会昌毁佛重组长安寺院空间</x:v>
      </x:c>
      <x:c r="E20" s="27" t="str">
        <x:v>S7</x:v>
      </x:c>
      <x:c r="F20" s="27" t="str">
        <x:v>SOCIAL_POLICY</x:v>
      </x:c>
      <x:c r="G20" s="27" t="str">
        <x:v>T2;T7;T8;T10</x:v>
      </x:c>
      <x:c r="H20" s="27" t="str">
        <x:v>通过</x:v>
      </x:c>
      <x:c r="I20" s="27" t="str">
        <x:v>TC-CHUNK-2211;TC-CHUNK-2212;TC-CHUNK-2213</x:v>
      </x:c>
      <x:c r="J20" s="27" t="n">
        <x:f>IF(I20="","",LEN(I20)-LEN(SUBSTITUTE(I20,";",""))+1)</x:f>
        <x:v>3</x:v>
      </x:c>
      <x:c r="K20" s="27" t="str">
        <x:v>TC-REF-0203</x:v>
      </x:c>
      <x:c r="L20" s="28" t="str">
        <x:v>主题映射依据事件摘要、历史意义、居民影响及空间实体综合判定；不等同event_type。</x:v>
      </x:c>
    </x:row>
    <x:row r="21">
      <x:c r="A21" s="26" t="str">
        <x:v>TC-TIMELINE-0008</x:v>
      </x:c>
      <x:c r="B21" s="27" t="n">
        <x:v>881</x:v>
      </x:c>
      <x:c r="C21" s="27" t="str">
        <x:v>881年1月8日（广明元年十二月初五）</x:v>
      </x:c>
      <x:c r="D21" s="27" t="str">
        <x:v>黄巢军占领长安</x:v>
      </x:c>
      <x:c r="E21" s="27" t="str">
        <x:v>S8</x:v>
      </x:c>
      <x:c r="F21" s="27" t="str">
        <x:v>WAR</x:v>
      </x:c>
      <x:c r="G21" s="27" t="str">
        <x:v>T1;T3;T4;T6;T8;T9;T10</x:v>
      </x:c>
      <x:c r="H21" s="27" t="str">
        <x:v>通过</x:v>
      </x:c>
      <x:c r="I21" s="27" t="str">
        <x:v>TC-CHUNK-2119;TC-CHUNK-2178;TC-CHUNK-2182;TC-CHUNK-2200;TC-CHUNK-2201</x:v>
      </x:c>
      <x:c r="J21" s="27" t="n">
        <x:f>IF(I21="","",LEN(I21)-LEN(SUBSTITUTE(I21,";",""))+1)</x:f>
        <x:v>5</x:v>
      </x:c>
      <x:c r="K21" s="27" t="str">
        <x:v>TC-REF-0204</x:v>
      </x:c>
      <x:c r="L21" s="28" t="str">
        <x:v>主题映射依据事件摘要、历史意义、居民影响及空间实体综合判定；不等同event_type。</x:v>
      </x:c>
    </x:row>
    <x:row r="22">
      <x:c r="A22" s="26" t="str">
        <x:v>TC-TIMELINE-0020</x:v>
      </x:c>
      <x:c r="B22" s="27" t="n">
        <x:v>883</x:v>
      </x:c>
      <x:c r="C22" s="27" t="str">
        <x:v>883年（中和三年四月）</x:v>
      </x:c>
      <x:c r="D22" s="27" t="str">
        <x:v>唐军再度收复长安，城市严重残破</x:v>
      </x:c>
      <x:c r="E22" s="27" t="str">
        <x:v>S8</x:v>
      </x:c>
      <x:c r="F22" s="27" t="str">
        <x:v>WAR</x:v>
      </x:c>
      <x:c r="G22" s="27" t="str">
        <x:v>T1;T3;T4;T8;T9;T10</x:v>
      </x:c>
      <x:c r="H22" s="27" t="str">
        <x:v>通过</x:v>
      </x:c>
      <x:c r="I22" s="27" t="str">
        <x:v>TC-CHUNK-2227;TC-CHUNK-2228;TC-CHUNK-2229</x:v>
      </x:c>
      <x:c r="J22" s="27" t="n">
        <x:f>IF(I22="","",LEN(I22)-LEN(SUBSTITUTE(I22,";",""))+1)</x:f>
        <x:v>3</x:v>
      </x:c>
      <x:c r="K22" s="27" t="str">
        <x:v>TC-REF-0203</x:v>
      </x:c>
      <x:c r="L22" s="28" t="str">
        <x:v>主题映射依据事件摘要、历史意义、居民影响及空间实体综合判定；不等同event_type。</x:v>
      </x:c>
    </x:row>
    <x:row r="23">
      <x:c r="A23" s="26" t="str">
        <x:v>TC-TIMELINE-0022</x:v>
      </x:c>
      <x:c r="B23" s="27" t="n">
        <x:v>885</x:v>
      </x:c>
      <x:c r="C23" s="27" t="str">
        <x:v>885—886年（中和五年至光启二年）</x:v>
      </x:c>
      <x:c r="D23" s="27" t="str">
        <x:v>田令孜与藩镇冲突导致僖宗再度出奔</x:v>
      </x:c>
      <x:c r="E23" s="27" t="str">
        <x:v>S8</x:v>
      </x:c>
      <x:c r="F23" s="27" t="str">
        <x:v>WAR</x:v>
      </x:c>
      <x:c r="G23" s="27" t="str">
        <x:v>T1;T3;T4;T8;T9;T10</x:v>
      </x:c>
      <x:c r="H23" s="27" t="str">
        <x:v>通过</x:v>
      </x:c>
      <x:c r="I23" s="27" t="str">
        <x:v>TC-CHUNK-2233;TC-CHUNK-2234;TC-CHUNK-2235</x:v>
      </x:c>
      <x:c r="J23" s="27" t="n">
        <x:f>IF(I23="","",LEN(I23)-LEN(SUBSTITUTE(I23,";",""))+1)</x:f>
        <x:v>3</x:v>
      </x:c>
      <x:c r="K23" s="27" t="str">
        <x:v>TC-REF-0203</x:v>
      </x:c>
      <x:c r="L23" s="28" t="str">
        <x:v>主题映射依据事件摘要、历史意义、居民影响及空间实体综合判定；不等同event_type。</x:v>
      </x:c>
    </x:row>
    <x:row r="24">
      <x:c r="A24" s="26" t="str">
        <x:v>TC-TIMELINE-0023</x:v>
      </x:c>
      <x:c r="B24" s="27" t="n">
        <x:v>895</x:v>
      </x:c>
      <x:c r="C24" s="27" t="str">
        <x:v>895年（乾宁二年五月至八月）</x:v>
      </x:c>
      <x:c r="D24" s="27" t="str">
        <x:v>三镇军队犯京，昭宗出奔石门</x:v>
      </x:c>
      <x:c r="E24" s="27" t="str">
        <x:v>S8</x:v>
      </x:c>
      <x:c r="F24" s="27" t="str">
        <x:v>WAR</x:v>
      </x:c>
      <x:c r="G24" s="27" t="str">
        <x:v>T1;T3;T4;T8;T9</x:v>
      </x:c>
      <x:c r="H24" s="27" t="str">
        <x:v>通过</x:v>
      </x:c>
      <x:c r="I24" s="27" t="str">
        <x:v>TC-CHUNK-2236;TC-CHUNK-2237;TC-CHUNK-2238</x:v>
      </x:c>
      <x:c r="J24" s="27" t="n">
        <x:f>IF(I24="","",LEN(I24)-LEN(SUBSTITUTE(I24,";",""))+1)</x:f>
        <x:v>3</x:v>
      </x:c>
      <x:c r="K24" s="27" t="str">
        <x:v>TC-REF-0203</x:v>
      </x:c>
      <x:c r="L24" s="28" t="str">
        <x:v>主题映射依据事件摘要、历史意义、居民影响及空间实体综合判定；不等同event_type。</x:v>
      </x:c>
    </x:row>
    <x:row r="25">
      <x:c r="A25" s="26" t="str">
        <x:v>TC-TIMELINE-0024</x:v>
      </x:c>
      <x:c r="B25" s="27" t="n">
        <x:v>896</x:v>
      </x:c>
      <x:c r="C25" s="27" t="str">
        <x:v>896年（乾宁三年六月至七月）</x:v>
      </x:c>
      <x:c r="D25" s="27" t="str">
        <x:v>李茂贞逼京，昭宗避居华州，长安修复成果被焚尽</x:v>
      </x:c>
      <x:c r="E25" s="27" t="str">
        <x:v>S8</x:v>
      </x:c>
      <x:c r="F25" s="27" t="str">
        <x:v>WAR</x:v>
      </x:c>
      <x:c r="G25" s="27" t="str">
        <x:v>T1;T3;T6;T8;T9;T10</x:v>
      </x:c>
      <x:c r="H25" s="27" t="str">
        <x:v>通过</x:v>
      </x:c>
      <x:c r="I25" s="27" t="str">
        <x:v>TC-CHUNK-2239;TC-CHUNK-2240;TC-CHUNK-2241</x:v>
      </x:c>
      <x:c r="J25" s="27" t="n">
        <x:f>IF(I25="","",LEN(I25)-LEN(SUBSTITUTE(I25,";",""))+1)</x:f>
        <x:v>3</x:v>
      </x:c>
      <x:c r="K25" s="27" t="str">
        <x:v>TC-REF-0203</x:v>
      </x:c>
      <x:c r="L25" s="28" t="str">
        <x:v>主题映射依据事件摘要、历史意义、居民影响及空间实体综合判定；不等同event_type。</x:v>
      </x:c>
    </x:row>
    <x:row r="26">
      <x:c r="A26" s="26" t="str">
        <x:v>TC-TIMELINE-0025</x:v>
      </x:c>
      <x:c r="B26" s="27" t="n">
        <x:v>901</x:v>
      </x:c>
      <x:c r="C26" s="27" t="str">
        <x:v>901—903年（天复元年至三年）</x:v>
      </x:c>
      <x:c r="D26" s="27" t="str">
        <x:v>昭宗被劫往凤翔后返回长安</x:v>
      </x:c>
      <x:c r="E26" s="27" t="str">
        <x:v>S8</x:v>
      </x:c>
      <x:c r="F26" s="27" t="str">
        <x:v>CAPITAL_STATUS</x:v>
      </x:c>
      <x:c r="G26" s="27" t="str">
        <x:v>T1;T3;T4;T8;T9;T10</x:v>
      </x:c>
      <x:c r="H26" s="27" t="str">
        <x:v>通过</x:v>
      </x:c>
      <x:c r="I26" s="27" t="str">
        <x:v>TC-CHUNK-2242;TC-CHUNK-2243;TC-CHUNK-2244</x:v>
      </x:c>
      <x:c r="J26" s="27" t="n">
        <x:f>IF(I26="","",LEN(I26)-LEN(SUBSTITUTE(I26,";",""))+1)</x:f>
        <x:v>3</x:v>
      </x:c>
      <x:c r="K26" s="27" t="str">
        <x:v>TC-REF-0203</x:v>
      </x:c>
      <x:c r="L26" s="28" t="str">
        <x:v>主题映射依据事件摘要、历史意义、居民影响及空间实体综合判定；不等同event_type。</x:v>
      </x:c>
    </x:row>
    <x:row r="27">
      <x:c r="A27" s="26" t="str">
        <x:v>TC-TIMELINE-0009</x:v>
      </x:c>
      <x:c r="B27" s="27" t="n">
        <x:v>904</x:v>
      </x:c>
      <x:c r="C27" s="27" t="str">
        <x:v>904年（天复四年／天祐元年）</x:v>
      </x:c>
      <x:c r="D27" s="27" t="str">
        <x:v>朱温强迫迁都并拆毁长安</x:v>
      </x:c>
      <x:c r="E27" s="27" t="str">
        <x:v>S8</x:v>
      </x:c>
      <x:c r="F27" s="27" t="str">
        <x:v>CAPITAL_STATUS</x:v>
      </x:c>
      <x:c r="G27" s="27" t="str">
        <x:v>T1;T2;T3;T6;T8;T10</x:v>
      </x:c>
      <x:c r="H27" s="27" t="str">
        <x:v>通过</x:v>
      </x:c>
      <x:c r="I27" s="27" t="str">
        <x:v>TC-CHUNK-2120;TC-CHUNK-2179;TC-CHUNK-2202</x:v>
      </x:c>
      <x:c r="J27" s="27" t="n">
        <x:f>IF(I27="","",LEN(I27)-LEN(SUBSTITUTE(I27,";",""))+1)</x:f>
        <x:v>3</x:v>
      </x:c>
      <x:c r="K27" s="27" t="str">
        <x:v>TC-REF-0204</x:v>
      </x:c>
      <x:c r="L27" s="28" t="str">
        <x:v>主题映射依据事件摘要、历史意义、居民影响及空间实体综合判定；不等同event_type。</x:v>
      </x:c>
    </x:row>
    <x:row r="28">
      <x:c r="A28" s="29" t="str">
        <x:v>TC-TIMELINE-0010</x:v>
      </x:c>
      <x:c r="B28" s="30" t="n">
        <x:v>907</x:v>
      </x:c>
      <x:c r="C28" s="30" t="str">
        <x:v>907年（天祐四年／开平元年）</x:v>
      </x:c>
      <x:c r="D28" s="30" t="str">
        <x:v>唐朝灭亡</x:v>
      </x:c>
      <x:c r="E28" s="30" t="str">
        <x:v>S8</x:v>
      </x:c>
      <x:c r="F28" s="30" t="str">
        <x:v>POLITICAL_CHANGE</x:v>
      </x:c>
      <x:c r="G28" s="30" t="str">
        <x:v>T1;T10</x:v>
      </x:c>
      <x:c r="H28" s="30" t="str">
        <x:v>通过</x:v>
      </x:c>
      <x:c r="I28" s="30" t="str">
        <x:v>TC-CHUNK-2121;TC-CHUNK-2180;TC-CHUNK-2183;TC-CHUNK-2203</x:v>
      </x:c>
      <x:c r="J28" s="30" t="n">
        <x:f>IF(I28="","",LEN(I28)-LEN(SUBSTITUTE(I28,";",""))+1)</x:f>
        <x:v>4</x:v>
      </x:c>
      <x:c r="K28" s="30" t="str">
        <x:v>TC-REF-0204</x:v>
      </x:c>
      <x:c r="L28" s="31" t="str">
        <x:v>主题映射依据事件摘要、历史意义、居民影响及空间实体综合判定；不等同event_type。</x:v>
      </x:c>
    </x:row>
  </x:sheetData>
  <x:mergeCells>
    <x:mergeCell ref="A1:L1"/>
  </x:mergeCells>
  <x:dataValidations count="1">
    <x:dataValidation type="list" sqref="E4:E28">
      <x:formula1>"S1,S2,S3,S4,S5,S6,S7,S8"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>
      <x:c r="A1" s="64" t="str">
        <x:v>25条正式事件：历史阶段 × 主题覆盖矩阵</x:v>
      </x:c>
      <x:c r="B1" s="64"/>
      <x:c r="C1" s="64"/>
      <x:c r="D1" s="64"/>
      <x:c r="E1" s="64"/>
      <x:c r="F1" s="64"/>
      <x:c r="G1" s="64"/>
      <x:c r="H1" s="64"/>
      <x:c r="I1" s="64"/>
      <x:c r="J1" s="64"/>
      <x:c r="K1" s="64"/>
      <x:c r="L1" s="64"/>
    </x:row>
    <x:row r="2">
      <x:c r="A2" s="16"/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</x:row>
    <x:row r="3">
      <x:c r="A3" s="73" t="str">
        <x:v>阶段</x:v>
      </x:c>
      <x:c r="B3" s="74" t="str">
        <x:v>都城地位</x:v>
      </x:c>
      <x:c r="C3" s="74" t="str">
        <x:v>城市规划与营建</x:v>
      </x:c>
      <x:c r="D3" s="74" t="str">
        <x:v>宫城与政治空间</x:v>
      </x:c>
      <x:c r="E3" s="74" t="str">
        <x:v>道路城门与交通</x:v>
      </x:c>
      <x:c r="F3" s="74" t="str">
        <x:v>水利与供给</x:v>
      </x:c>
      <x:c r="G3" s="74" t="str">
        <x:v>坊市与商业</x:v>
      </x:c>
      <x:c r="H3" s="74" t="str">
        <x:v>宗教空间</x:v>
      </x:c>
      <x:c r="I3" s="74" t="str">
        <x:v>居民生活与社会制度</x:v>
      </x:c>
      <x:c r="J3" s="74" t="str">
        <x:v>战争灾害与城市安全</x:v>
      </x:c>
      <x:c r="K3" s="74" t="str">
        <x:v>衰落、破坏与人口迁移</x:v>
      </x:c>
      <x:c r="L3" s="75" t="str">
        <x:v>阶段事件数</x:v>
      </x:c>
    </x:row>
    <x:row r="4">
      <x:c r="A4" s="21" t="str">
        <x:v>S1 隋初建城（581—604）</x:v>
      </x:c>
      <x:c r="B4" s="21" t="n">
        <x:f>SUMPRODUCT(--('正式事件映射'!$E$4:$E$28="S1"),--ISNUMBER(SEARCH(";T1;",";"&amp;'正式事件映射'!$G$4:$G$28&amp;";")))</x:f>
        <x:v>1</x:v>
      </x:c>
      <x:c r="C4" s="21" t="n">
        <x:f>SUMPRODUCT(--('正式事件映射'!$E$4:$E$28="S1"),--ISNUMBER(SEARCH(";T2;",";"&amp;'正式事件映射'!$G$4:$G$28&amp;";")))</x:f>
        <x:v>1</x:v>
      </x:c>
      <x:c r="D4" s="21" t="n">
        <x:f>SUMPRODUCT(--('正式事件映射'!$E$4:$E$28="S1"),--ISNUMBER(SEARCH(";T3;",";"&amp;'正式事件映射'!$G$4:$G$28&amp;";")))</x:f>
        <x:v>1</x:v>
      </x:c>
      <x:c r="E4" s="21" t="n">
        <x:f>SUMPRODUCT(--('正式事件映射'!$E$4:$E$28="S1"),--ISNUMBER(SEARCH(";T4;",";"&amp;'正式事件映射'!$G$4:$G$28&amp;";")))</x:f>
        <x:v>2</x:v>
      </x:c>
      <x:c r="F4" s="21" t="n">
        <x:f>SUMPRODUCT(--('正式事件映射'!$E$4:$E$28="S1"),--ISNUMBER(SEARCH(";T5;",";"&amp;'正式事件映射'!$G$4:$G$28&amp;";")))</x:f>
        <x:v>2</x:v>
      </x:c>
      <x:c r="G4" s="21" t="n">
        <x:f>SUMPRODUCT(--('正式事件映射'!$E$4:$E$28="S1"),--ISNUMBER(SEARCH(";T6;",";"&amp;'正式事件映射'!$G$4:$G$28&amp;";")))</x:f>
        <x:v>2</x:v>
      </x:c>
      <x:c r="H4" s="21" t="n">
        <x:f>SUMPRODUCT(--('正式事件映射'!$E$4:$E$28="S1"),--ISNUMBER(SEARCH(";T7;",";"&amp;'正式事件映射'!$G$4:$G$28&amp;";")))</x:f>
        <x:v>0</x:v>
      </x:c>
      <x:c r="I4" s="21" t="n">
        <x:f>SUMPRODUCT(--('正式事件映射'!$E$4:$E$28="S1"),--ISNUMBER(SEARCH(";T8;",";"&amp;'正式事件映射'!$G$4:$G$28&amp;";")))</x:f>
        <x:v>1</x:v>
      </x:c>
      <x:c r="J4" s="21" t="n">
        <x:f>SUMPRODUCT(--('正式事件映射'!$E$4:$E$28="S1"),--ISNUMBER(SEARCH(";T9;",";"&amp;'正式事件映射'!$G$4:$G$28&amp;";")))</x:f>
        <x:v>0</x:v>
      </x:c>
      <x:c r="K4" s="21" t="n">
        <x:f>SUMPRODUCT(--('正式事件映射'!$E$4:$E$28="S1"),--ISNUMBER(SEARCH(";T10;",";"&amp;'正式事件映射'!$G$4:$G$28&amp;";")))</x:f>
        <x:v>0</x:v>
      </x:c>
      <x:c r="L4" s="21" t="n">
        <x:f>COUNTIF('正式事件映射'!$E$4:$E$28,"S1")</x:f>
        <x:v>2</x:v>
      </x:c>
    </x:row>
    <x:row r="5">
      <x:c r="A5" s="21" t="str">
        <x:v>S2 隋炀帝及隋末（605—617）</x:v>
      </x:c>
      <x:c r="B5" s="21" t="n">
        <x:f>SUMPRODUCT(--('正式事件映射'!$E$4:$E$28="S2"),--ISNUMBER(SEARCH(";T1;",";"&amp;'正式事件映射'!$G$4:$G$28&amp;";")))</x:f>
        <x:v>1</x:v>
      </x:c>
      <x:c r="C5" s="21" t="n">
        <x:f>SUMPRODUCT(--('正式事件映射'!$E$4:$E$28="S2"),--ISNUMBER(SEARCH(";T2;",";"&amp;'正式事件映射'!$G$4:$G$28&amp;";")))</x:f>
        <x:v>0</x:v>
      </x:c>
      <x:c r="D5" s="21" t="n">
        <x:f>SUMPRODUCT(--('正式事件映射'!$E$4:$E$28="S2"),--ISNUMBER(SEARCH(";T3;",";"&amp;'正式事件映射'!$G$4:$G$28&amp;";")))</x:f>
        <x:v>1</x:v>
      </x:c>
      <x:c r="E5" s="21" t="n">
        <x:f>SUMPRODUCT(--('正式事件映射'!$E$4:$E$28="S2"),--ISNUMBER(SEARCH(";T4;",";"&amp;'正式事件映射'!$G$4:$G$28&amp;";")))</x:f>
        <x:v>0</x:v>
      </x:c>
      <x:c r="F5" s="21" t="n">
        <x:f>SUMPRODUCT(--('正式事件映射'!$E$4:$E$28="S2"),--ISNUMBER(SEARCH(";T5;",";"&amp;'正式事件映射'!$G$4:$G$28&amp;";")))</x:f>
        <x:v>0</x:v>
      </x:c>
      <x:c r="G5" s="21" t="n">
        <x:f>SUMPRODUCT(--('正式事件映射'!$E$4:$E$28="S2"),--ISNUMBER(SEARCH(";T6;",";"&amp;'正式事件映射'!$G$4:$G$28&amp;";")))</x:f>
        <x:v>0</x:v>
      </x:c>
      <x:c r="H5" s="21" t="n">
        <x:f>SUMPRODUCT(--('正式事件映射'!$E$4:$E$28="S2"),--ISNUMBER(SEARCH(";T7;",";"&amp;'正式事件映射'!$G$4:$G$28&amp;";")))</x:f>
        <x:v>0</x:v>
      </x:c>
      <x:c r="I5" s="21" t="n">
        <x:f>SUMPRODUCT(--('正式事件映射'!$E$4:$E$28="S2"),--ISNUMBER(SEARCH(";T8;",";"&amp;'正式事件映射'!$G$4:$G$28&amp;";")))</x:f>
        <x:v>0</x:v>
      </x:c>
      <x:c r="J5" s="21" t="n">
        <x:f>SUMPRODUCT(--('正式事件映射'!$E$4:$E$28="S2"),--ISNUMBER(SEARCH(";T9;",";"&amp;'正式事件映射'!$G$4:$G$28&amp;";")))</x:f>
        <x:v>1</x:v>
      </x:c>
      <x:c r="K5" s="21" t="n">
        <x:f>SUMPRODUCT(--('正式事件映射'!$E$4:$E$28="S2"),--ISNUMBER(SEARCH(";T10;",";"&amp;'正式事件映射'!$G$4:$G$28&amp;";")))</x:f>
        <x:v>0</x:v>
      </x:c>
      <x:c r="L5" s="21" t="n">
        <x:f>COUNTIF('正式事件映射'!$E$4:$E$28,"S2")</x:f>
        <x:v>1</x:v>
      </x:c>
    </x:row>
    <x:row r="6">
      <x:c r="A6" s="21" t="str">
        <x:v>S3 初唐（618—712）</x:v>
      </x:c>
      <x:c r="B6" s="21" t="n">
        <x:f>SUMPRODUCT(--('正式事件映射'!$E$4:$E$28="S3"),--ISNUMBER(SEARCH(";T1;",";"&amp;'正式事件映射'!$G$4:$G$28&amp;";")))</x:f>
        <x:v>3</x:v>
      </x:c>
      <x:c r="C6" s="21" t="n">
        <x:f>SUMPRODUCT(--('正式事件映射'!$E$4:$E$28="S3"),--ISNUMBER(SEARCH(";T2;",";"&amp;'正式事件映射'!$G$4:$G$28&amp;";")))</x:f>
        <x:v>2</x:v>
      </x:c>
      <x:c r="D6" s="21" t="n">
        <x:f>SUMPRODUCT(--('正式事件映射'!$E$4:$E$28="S3"),--ISNUMBER(SEARCH(";T3;",";"&amp;'正式事件映射'!$G$4:$G$28&amp;";")))</x:f>
        <x:v>4</x:v>
      </x:c>
      <x:c r="E6" s="21" t="n">
        <x:f>SUMPRODUCT(--('正式事件映射'!$E$4:$E$28="S3"),--ISNUMBER(SEARCH(";T4;",";"&amp;'正式事件映射'!$G$4:$G$28&amp;";")))</x:f>
        <x:v>2</x:v>
      </x:c>
      <x:c r="F6" s="21" t="n">
        <x:f>SUMPRODUCT(--('正式事件映射'!$E$4:$E$28="S3"),--ISNUMBER(SEARCH(";T5;",";"&amp;'正式事件映射'!$G$4:$G$28&amp;";")))</x:f>
        <x:v>0</x:v>
      </x:c>
      <x:c r="G6" s="21" t="n">
        <x:f>SUMPRODUCT(--('正式事件映射'!$E$4:$E$28="S3"),--ISNUMBER(SEARCH(";T6;",";"&amp;'正式事件映射'!$G$4:$G$28&amp;";")))</x:f>
        <x:v>0</x:v>
      </x:c>
      <x:c r="H6" s="21" t="n">
        <x:f>SUMPRODUCT(--('正式事件映射'!$E$4:$E$28="S3"),--ISNUMBER(SEARCH(";T7;",";"&amp;'正式事件映射'!$G$4:$G$28&amp;";")))</x:f>
        <x:v>1</x:v>
      </x:c>
      <x:c r="I6" s="21" t="n">
        <x:f>SUMPRODUCT(--('正式事件映射'!$E$4:$E$28="S3"),--ISNUMBER(SEARCH(";T8;",";"&amp;'正式事件映射'!$G$4:$G$28&amp;";")))</x:f>
        <x:v>1</x:v>
      </x:c>
      <x:c r="J6" s="21" t="n">
        <x:f>SUMPRODUCT(--('正式事件映射'!$E$4:$E$28="S3"),--ISNUMBER(SEARCH(";T9;",";"&amp;'正式事件映射'!$G$4:$G$28&amp;";")))</x:f>
        <x:v>0</x:v>
      </x:c>
      <x:c r="K6" s="21" t="n">
        <x:f>SUMPRODUCT(--('正式事件映射'!$E$4:$E$28="S3"),--ISNUMBER(SEARCH(";T10;",";"&amp;'正式事件映射'!$G$4:$G$28&amp;";")))</x:f>
        <x:v>0</x:v>
      </x:c>
      <x:c r="L6" s="21" t="n">
        <x:f>COUNTIF('正式事件映射'!$E$4:$E$28,"S3")</x:f>
        <x:v>5</x:v>
      </x:c>
    </x:row>
    <x:row r="7">
      <x:c r="A7" s="21" t="str">
        <x:v>S4 盛唐（713—755）</x:v>
      </x:c>
      <x:c r="B7" s="21" t="n">
        <x:f>SUMPRODUCT(--('正式事件映射'!$E$4:$E$28="S4"),--ISNUMBER(SEARCH(";T1;",";"&amp;'正式事件映射'!$G$4:$G$28&amp;";")))</x:f>
        <x:v>1</x:v>
      </x:c>
      <x:c r="C7" s="21" t="n">
        <x:f>SUMPRODUCT(--('正式事件映射'!$E$4:$E$28="S4"),--ISNUMBER(SEARCH(";T2;",";"&amp;'正式事件映射'!$G$4:$G$28&amp;";")))</x:f>
        <x:v>1</x:v>
      </x:c>
      <x:c r="D7" s="21" t="n">
        <x:f>SUMPRODUCT(--('正式事件映射'!$E$4:$E$28="S4"),--ISNUMBER(SEARCH(";T3;",";"&amp;'正式事件映射'!$G$4:$G$28&amp;";")))</x:f>
        <x:v>1</x:v>
      </x:c>
      <x:c r="E7" s="21" t="n">
        <x:f>SUMPRODUCT(--('正式事件映射'!$E$4:$E$28="S4"),--ISNUMBER(SEARCH(";T4;",";"&amp;'正式事件映射'!$G$4:$G$28&amp;";")))</x:f>
        <x:v>2</x:v>
      </x:c>
      <x:c r="F7" s="21" t="n">
        <x:f>SUMPRODUCT(--('正式事件映射'!$E$4:$E$28="S4"),--ISNUMBER(SEARCH(";T5;",";"&amp;'正式事件映射'!$G$4:$G$28&amp;";")))</x:f>
        <x:v>1</x:v>
      </x:c>
      <x:c r="G7" s="21" t="n">
        <x:f>SUMPRODUCT(--('正式事件映射'!$E$4:$E$28="S4"),--ISNUMBER(SEARCH(";T6;",";"&amp;'正式事件映射'!$G$4:$G$28&amp;";")))</x:f>
        <x:v>1</x:v>
      </x:c>
      <x:c r="H7" s="21" t="n">
        <x:f>SUMPRODUCT(--('正式事件映射'!$E$4:$E$28="S4"),--ISNUMBER(SEARCH(";T7;",";"&amp;'正式事件映射'!$G$4:$G$28&amp;";")))</x:f>
        <x:v>0</x:v>
      </x:c>
      <x:c r="I7" s="21" t="n">
        <x:f>SUMPRODUCT(--('正式事件映射'!$E$4:$E$28="S4"),--ISNUMBER(SEARCH(";T8;",";"&amp;'正式事件映射'!$G$4:$G$28&amp;";")))</x:f>
        <x:v>2</x:v>
      </x:c>
      <x:c r="J7" s="21" t="n">
        <x:f>SUMPRODUCT(--('正式事件映射'!$E$4:$E$28="S4"),--ISNUMBER(SEARCH(";T9;",";"&amp;'正式事件映射'!$G$4:$G$28&amp;";")))</x:f>
        <x:v>1</x:v>
      </x:c>
      <x:c r="K7" s="21" t="n">
        <x:f>SUMPRODUCT(--('正式事件映射'!$E$4:$E$28="S4"),--ISNUMBER(SEARCH(";T10;",";"&amp;'正式事件映射'!$G$4:$G$28&amp;";")))</x:f>
        <x:v>0</x:v>
      </x:c>
      <x:c r="L7" s="21" t="n">
        <x:f>COUNTIF('正式事件映射'!$E$4:$E$28,"S4")</x:f>
        <x:v>2</x:v>
      </x:c>
    </x:row>
    <x:row r="8">
      <x:c r="A8" s="21" t="str">
        <x:v>S5 安史之乱及恢复（756—779）</x:v>
      </x:c>
      <x:c r="B8" s="21" t="n">
        <x:f>SUMPRODUCT(--('正式事件映射'!$E$4:$E$28="S5"),--ISNUMBER(SEARCH(";T1;",";"&amp;'正式事件映射'!$G$4:$G$28&amp;";")))</x:f>
        <x:v>3</x:v>
      </x:c>
      <x:c r="C8" s="21" t="n">
        <x:f>SUMPRODUCT(--('正式事件映射'!$E$4:$E$28="S5"),--ISNUMBER(SEARCH(";T2;",";"&amp;'正式事件映射'!$G$4:$G$28&amp;";")))</x:f>
        <x:v>0</x:v>
      </x:c>
      <x:c r="D8" s="21" t="n">
        <x:f>SUMPRODUCT(--('正式事件映射'!$E$4:$E$28="S5"),--ISNUMBER(SEARCH(";T3;",";"&amp;'正式事件映射'!$G$4:$G$28&amp;";")))</x:f>
        <x:v>3</x:v>
      </x:c>
      <x:c r="E8" s="21" t="n">
        <x:f>SUMPRODUCT(--('正式事件映射'!$E$4:$E$28="S5"),--ISNUMBER(SEARCH(";T4;",";"&amp;'正式事件映射'!$G$4:$G$28&amp;";")))</x:f>
        <x:v>2</x:v>
      </x:c>
      <x:c r="F8" s="21" t="n">
        <x:f>SUMPRODUCT(--('正式事件映射'!$E$4:$E$28="S5"),--ISNUMBER(SEARCH(";T5;",";"&amp;'正式事件映射'!$G$4:$G$28&amp;";")))</x:f>
        <x:v>0</x:v>
      </x:c>
      <x:c r="G8" s="21" t="n">
        <x:f>SUMPRODUCT(--('正式事件映射'!$E$4:$E$28="S5"),--ISNUMBER(SEARCH(";T6;",";"&amp;'正式事件映射'!$G$4:$G$28&amp;";")))</x:f>
        <x:v>2</x:v>
      </x:c>
      <x:c r="H8" s="21" t="n">
        <x:f>SUMPRODUCT(--('正式事件映射'!$E$4:$E$28="S5"),--ISNUMBER(SEARCH(";T7;",";"&amp;'正式事件映射'!$G$4:$G$28&amp;";")))</x:f>
        <x:v>0</x:v>
      </x:c>
      <x:c r="I8" s="21" t="n">
        <x:f>SUMPRODUCT(--('正式事件映射'!$E$4:$E$28="S5"),--ISNUMBER(SEARCH(";T8;",";"&amp;'正式事件映射'!$G$4:$G$28&amp;";")))</x:f>
        <x:v>3</x:v>
      </x:c>
      <x:c r="J8" s="21" t="n">
        <x:f>SUMPRODUCT(--('正式事件映射'!$E$4:$E$28="S5"),--ISNUMBER(SEARCH(";T9;",";"&amp;'正式事件映射'!$G$4:$G$28&amp;";")))</x:f>
        <x:v>3</x:v>
      </x:c>
      <x:c r="K8" s="21" t="n">
        <x:f>SUMPRODUCT(--('正式事件映射'!$E$4:$E$28="S5"),--ISNUMBER(SEARCH(";T10;",";"&amp;'正式事件映射'!$G$4:$G$28&amp;";")))</x:f>
        <x:v>2</x:v>
      </x:c>
      <x:c r="L8" s="21" t="n">
        <x:f>COUNTIF('正式事件映射'!$E$4:$E$28,"S5")</x:f>
        <x:v>3</x:v>
      </x:c>
    </x:row>
    <x:row r="9">
      <x:c r="A9" s="21" t="str">
        <x:v>S6 中唐（780—835）</x:v>
      </x:c>
      <x:c r="B9" s="21" t="n">
        <x:f>SUMPRODUCT(--('正式事件映射'!$E$4:$E$28="S6"),--ISNUMBER(SEARCH(";T1;",";"&amp;'正式事件映射'!$G$4:$G$28&amp;";")))</x:f>
        <x:v>2</x:v>
      </x:c>
      <x:c r="C9" s="21" t="n">
        <x:f>SUMPRODUCT(--('正式事件映射'!$E$4:$E$28="S6"),--ISNUMBER(SEARCH(";T2;",";"&amp;'正式事件映射'!$G$4:$G$28&amp;";")))</x:f>
        <x:v>0</x:v>
      </x:c>
      <x:c r="D9" s="21" t="n">
        <x:f>SUMPRODUCT(--('正式事件映射'!$E$4:$E$28="S6"),--ISNUMBER(SEARCH(";T3;",";"&amp;'正式事件映射'!$G$4:$G$28&amp;";")))</x:f>
        <x:v>3</x:v>
      </x:c>
      <x:c r="E9" s="21" t="n">
        <x:f>SUMPRODUCT(--('正式事件映射'!$E$4:$E$28="S6"),--ISNUMBER(SEARCH(";T4;",";"&amp;'正式事件映射'!$G$4:$G$28&amp;";")))</x:f>
        <x:v>3</x:v>
      </x:c>
      <x:c r="F9" s="21" t="n">
        <x:f>SUMPRODUCT(--('正式事件映射'!$E$4:$E$28="S6"),--ISNUMBER(SEARCH(";T5;",";"&amp;'正式事件映射'!$G$4:$G$28&amp;";")))</x:f>
        <x:v>0</x:v>
      </x:c>
      <x:c r="G9" s="21" t="n">
        <x:f>SUMPRODUCT(--('正式事件映射'!$E$4:$E$28="S6"),--ISNUMBER(SEARCH(";T6;",";"&amp;'正式事件映射'!$G$4:$G$28&amp;";")))</x:f>
        <x:v>0</x:v>
      </x:c>
      <x:c r="H9" s="21" t="n">
        <x:f>SUMPRODUCT(--('正式事件映射'!$E$4:$E$28="S6"),--ISNUMBER(SEARCH(";T7;",";"&amp;'正式事件映射'!$G$4:$G$28&amp;";")))</x:f>
        <x:v>0</x:v>
      </x:c>
      <x:c r="I9" s="21" t="n">
        <x:f>SUMPRODUCT(--('正式事件映射'!$E$4:$E$28="S6"),--ISNUMBER(SEARCH(";T8;",";"&amp;'正式事件映射'!$G$4:$G$28&amp;";")))</x:f>
        <x:v>3</x:v>
      </x:c>
      <x:c r="J9" s="21" t="n">
        <x:f>SUMPRODUCT(--('正式事件映射'!$E$4:$E$28="S6"),--ISNUMBER(SEARCH(";T9;",";"&amp;'正式事件映射'!$G$4:$G$28&amp;";")))</x:f>
        <x:v>3</x:v>
      </x:c>
      <x:c r="K9" s="21" t="n">
        <x:f>SUMPRODUCT(--('正式事件映射'!$E$4:$E$28="S6"),--ISNUMBER(SEARCH(";T10;",";"&amp;'正式事件映射'!$G$4:$G$28&amp;";")))</x:f>
        <x:v>0</x:v>
      </x:c>
      <x:c r="L9" s="21" t="n">
        <x:f>COUNTIF('正式事件映射'!$E$4:$E$28,"S6")</x:f>
        <x:v>3</x:v>
      </x:c>
    </x:row>
    <x:row r="10">
      <x:c r="A10" s="21" t="str">
        <x:v>S7 晚唐（836—879）</x:v>
      </x:c>
      <x:c r="B10" s="21" t="n">
        <x:f>SUMPRODUCT(--('正式事件映射'!$E$4:$E$28="S7"),--ISNUMBER(SEARCH(";T1;",";"&amp;'正式事件映射'!$G$4:$G$28&amp;";")))</x:f>
        <x:v>0</x:v>
      </x:c>
      <x:c r="C10" s="21" t="n">
        <x:f>SUMPRODUCT(--('正式事件映射'!$E$4:$E$28="S7"),--ISNUMBER(SEARCH(";T2;",";"&amp;'正式事件映射'!$G$4:$G$28&amp;";")))</x:f>
        <x:v>1</x:v>
      </x:c>
      <x:c r="D10" s="21" t="n">
        <x:f>SUMPRODUCT(--('正式事件映射'!$E$4:$E$28="S7"),--ISNUMBER(SEARCH(";T3;",";"&amp;'正式事件映射'!$G$4:$G$28&amp;";")))</x:f>
        <x:v>0</x:v>
      </x:c>
      <x:c r="E10" s="21" t="n">
        <x:f>SUMPRODUCT(--('正式事件映射'!$E$4:$E$28="S7"),--ISNUMBER(SEARCH(";T4;",";"&amp;'正式事件映射'!$G$4:$G$28&amp;";")))</x:f>
        <x:v>0</x:v>
      </x:c>
      <x:c r="F10" s="21" t="n">
        <x:f>SUMPRODUCT(--('正式事件映射'!$E$4:$E$28="S7"),--ISNUMBER(SEARCH(";T5;",";"&amp;'正式事件映射'!$G$4:$G$28&amp;";")))</x:f>
        <x:v>0</x:v>
      </x:c>
      <x:c r="G10" s="21" t="n">
        <x:f>SUMPRODUCT(--('正式事件映射'!$E$4:$E$28="S7"),--ISNUMBER(SEARCH(";T6;",";"&amp;'正式事件映射'!$G$4:$G$28&amp;";")))</x:f>
        <x:v>0</x:v>
      </x:c>
      <x:c r="H10" s="21" t="n">
        <x:f>SUMPRODUCT(--('正式事件映射'!$E$4:$E$28="S7"),--ISNUMBER(SEARCH(";T7;",";"&amp;'正式事件映射'!$G$4:$G$28&amp;";")))</x:f>
        <x:v>1</x:v>
      </x:c>
      <x:c r="I10" s="21" t="n">
        <x:f>SUMPRODUCT(--('正式事件映射'!$E$4:$E$28="S7"),--ISNUMBER(SEARCH(";T8;",";"&amp;'正式事件映射'!$G$4:$G$28&amp;";")))</x:f>
        <x:v>1</x:v>
      </x:c>
      <x:c r="J10" s="21" t="n">
        <x:f>SUMPRODUCT(--('正式事件映射'!$E$4:$E$28="S7"),--ISNUMBER(SEARCH(";T9;",";"&amp;'正式事件映射'!$G$4:$G$28&amp;";")))</x:f>
        <x:v>0</x:v>
      </x:c>
      <x:c r="K10" s="21" t="n">
        <x:f>SUMPRODUCT(--('正式事件映射'!$E$4:$E$28="S7"),--ISNUMBER(SEARCH(";T10;",";"&amp;'正式事件映射'!$G$4:$G$28&amp;";")))</x:f>
        <x:v>1</x:v>
      </x:c>
      <x:c r="L10" s="21" t="n">
        <x:f>COUNTIF('正式事件映射'!$E$4:$E$28,"S7")</x:f>
        <x:v>1</x:v>
      </x:c>
    </x:row>
    <x:row r="11">
      <x:c r="A11" s="21" t="str">
        <x:v>S8 唐末与都城终结（880—907）</x:v>
      </x:c>
      <x:c r="B11" s="21" t="n">
        <x:f>SUMPRODUCT(--('正式事件映射'!$E$4:$E$28="S8"),--ISNUMBER(SEARCH(";T1;",";"&amp;'正式事件映射'!$G$4:$G$28&amp;";")))</x:f>
        <x:v>8</x:v>
      </x:c>
      <x:c r="C11" s="21" t="n">
        <x:f>SUMPRODUCT(--('正式事件映射'!$E$4:$E$28="S8"),--ISNUMBER(SEARCH(";T2;",";"&amp;'正式事件映射'!$G$4:$G$28&amp;";")))</x:f>
        <x:v>1</x:v>
      </x:c>
      <x:c r="D11" s="21" t="n">
        <x:f>SUMPRODUCT(--('正式事件映射'!$E$4:$E$28="S8"),--ISNUMBER(SEARCH(";T3;",";"&amp;'正式事件映射'!$G$4:$G$28&amp;";")))</x:f>
        <x:v>7</x:v>
      </x:c>
      <x:c r="E11" s="21" t="n">
        <x:f>SUMPRODUCT(--('正式事件映射'!$E$4:$E$28="S8"),--ISNUMBER(SEARCH(";T4;",";"&amp;'正式事件映射'!$G$4:$G$28&amp;";")))</x:f>
        <x:v>5</x:v>
      </x:c>
      <x:c r="F11" s="21" t="n">
        <x:f>SUMPRODUCT(--('正式事件映射'!$E$4:$E$28="S8"),--ISNUMBER(SEARCH(";T5;",";"&amp;'正式事件映射'!$G$4:$G$28&amp;";")))</x:f>
        <x:v>0</x:v>
      </x:c>
      <x:c r="G11" s="21" t="n">
        <x:f>SUMPRODUCT(--('正式事件映射'!$E$4:$E$28="S8"),--ISNUMBER(SEARCH(";T6;",";"&amp;'正式事件映射'!$G$4:$G$28&amp;";")))</x:f>
        <x:v>3</x:v>
      </x:c>
      <x:c r="H11" s="21" t="n">
        <x:f>SUMPRODUCT(--('正式事件映射'!$E$4:$E$28="S8"),--ISNUMBER(SEARCH(";T7;",";"&amp;'正式事件映射'!$G$4:$G$28&amp;";")))</x:f>
        <x:v>0</x:v>
      </x:c>
      <x:c r="I11" s="21" t="n">
        <x:f>SUMPRODUCT(--('正式事件映射'!$E$4:$E$28="S8"),--ISNUMBER(SEARCH(";T8;",";"&amp;'正式事件映射'!$G$4:$G$28&amp;";")))</x:f>
        <x:v>7</x:v>
      </x:c>
      <x:c r="J11" s="21" t="n">
        <x:f>SUMPRODUCT(--('正式事件映射'!$E$4:$E$28="S8"),--ISNUMBER(SEARCH(";T9;",";"&amp;'正式事件映射'!$G$4:$G$28&amp;";")))</x:f>
        <x:v>6</x:v>
      </x:c>
      <x:c r="K11" s="21" t="n">
        <x:f>SUMPRODUCT(--('正式事件映射'!$E$4:$E$28="S8"),--ISNUMBER(SEARCH(";T10;",";"&amp;'正式事件映射'!$G$4:$G$28&amp;";")))</x:f>
        <x:v>7</x:v>
      </x:c>
      <x:c r="L11" s="21" t="n">
        <x:f>COUNTIF('正式事件映射'!$E$4:$E$28,"S8")</x:f>
        <x:v>8</x:v>
      </x:c>
    </x:row>
    <x:row r="12">
      <x:c r="A12" s="73" t="str">
        <x:v>主题事件数</x:v>
      </x:c>
      <x:c r="B12" s="74" t="n">
        <x:f>SUMPRODUCT(--ISNUMBER(SEARCH(";T1;",";"&amp;'正式事件映射'!$G$4:$G$28&amp;";")))</x:f>
        <x:v>19</x:v>
      </x:c>
      <x:c r="C12" s="74" t="n">
        <x:f>SUMPRODUCT(--ISNUMBER(SEARCH(";T2;",";"&amp;'正式事件映射'!$G$4:$G$28&amp;";")))</x:f>
        <x:v>6</x:v>
      </x:c>
      <x:c r="D12" s="74" t="n">
        <x:f>SUMPRODUCT(--ISNUMBER(SEARCH(";T3;",";"&amp;'正式事件映射'!$G$4:$G$28&amp;";")))</x:f>
        <x:v>20</x:v>
      </x:c>
      <x:c r="E12" s="74" t="n">
        <x:f>SUMPRODUCT(--ISNUMBER(SEARCH(";T4;",";"&amp;'正式事件映射'!$G$4:$G$28&amp;";")))</x:f>
        <x:v>16</x:v>
      </x:c>
      <x:c r="F12" s="74" t="n">
        <x:f>SUMPRODUCT(--ISNUMBER(SEARCH(";T5;",";"&amp;'正式事件映射'!$G$4:$G$28&amp;";")))</x:f>
        <x:v>3</x:v>
      </x:c>
      <x:c r="G12" s="74" t="n">
        <x:f>SUMPRODUCT(--ISNUMBER(SEARCH(";T6;",";"&amp;'正式事件映射'!$G$4:$G$28&amp;";")))</x:f>
        <x:v>8</x:v>
      </x:c>
      <x:c r="H12" s="74" t="n">
        <x:f>SUMPRODUCT(--ISNUMBER(SEARCH(";T7;",";"&amp;'正式事件映射'!$G$4:$G$28&amp;";")))</x:f>
        <x:v>2</x:v>
      </x:c>
      <x:c r="I12" s="74" t="n">
        <x:f>SUMPRODUCT(--ISNUMBER(SEARCH(";T8;",";"&amp;'正式事件映射'!$G$4:$G$28&amp;";")))</x:f>
        <x:v>18</x:v>
      </x:c>
      <x:c r="J12" s="74" t="n">
        <x:f>SUMPRODUCT(--ISNUMBER(SEARCH(";T9;",";"&amp;'正式事件映射'!$G$4:$G$28&amp;";")))</x:f>
        <x:v>14</x:v>
      </x:c>
      <x:c r="K12" s="74" t="n">
        <x:f>SUMPRODUCT(--ISNUMBER(SEARCH(";T10;",";"&amp;'正式事件映射'!$G$4:$G$28&amp;";")))</x:f>
        <x:v>10</x:v>
      </x:c>
      <x:c r="L12" s="75" t="n">
        <x:f>COUNTA('正式事件映射'!$A$4:$A$28)</x:f>
        <x:v>25</x:v>
      </x:c>
    </x:row>
    <x:row r="13">
      <x:c r="A13" s="21"/>
      <x:c r="B13" s="21"/>
      <x:c r="C13" s="21"/>
      <x:c r="D13" s="21"/>
      <x:c r="E13" s="21"/>
      <x:c r="F13" s="21"/>
      <x:c r="G13" s="21"/>
      <x:c r="H13" s="21"/>
      <x:c r="I13" s="21"/>
      <x:c r="J13" s="21"/>
      <x:c r="K13" s="21"/>
      <x:c r="L13" s="21"/>
    </x:row>
    <x:row r="14">
      <x:c r="A14" s="73" t="str">
        <x:v>判读等级</x:v>
      </x:c>
      <x:c r="B14" s="74" t="str">
        <x:v>条件</x:v>
      </x:c>
      <x:c r="C14" s="74" t="str">
        <x:v>含义</x:v>
      </x:c>
      <x:c r="D14" s="75" t="str">
        <x:v>下一步</x:v>
      </x:c>
      <x:c r="E14" s="21"/>
      <x:c r="F14" s="21"/>
      <x:c r="G14" s="21"/>
      <x:c r="H14" s="21"/>
      <x:c r="I14" s="21"/>
      <x:c r="J14" s="21"/>
      <x:c r="K14" s="21"/>
      <x:c r="L14" s="21"/>
    </x:row>
    <x:row r="15">
      <x:c r="A15" s="21" t="str">
        <x:v>空白</x:v>
      </x:c>
      <x:c r="B15" s="21" t="n">
        <x:v>0</x:v>
      </x:c>
      <x:c r="C15" s="21" t="str">
        <x:v>该阶段主题无正式事件</x:v>
      </x:c>
      <x:c r="D15" s="21" t="str">
        <x:v>优先专题检索</x:v>
      </x:c>
      <x:c r="E15" s="21"/>
      <x:c r="F15" s="21"/>
      <x:c r="G15" s="21"/>
      <x:c r="H15" s="21"/>
      <x:c r="I15" s="21"/>
      <x:c r="J15" s="21"/>
      <x:c r="K15" s="21"/>
      <x:c r="L15" s="21"/>
    </x:row>
    <x:row r="16">
      <x:c r="A16" s="21" t="str">
        <x:v>低覆盖</x:v>
      </x:c>
      <x:c r="B16" s="21" t="n">
        <x:v>1</x:v>
      </x:c>
      <x:c r="C16" s="21" t="str">
        <x:v>仅有一个代表节点</x:v>
      </x:c>
      <x:c r="D16" s="21" t="str">
        <x:v>检查遗漏或过度合并</x:v>
      </x:c>
      <x:c r="E16" s="21"/>
      <x:c r="F16" s="21"/>
      <x:c r="G16" s="21"/>
      <x:c r="H16" s="21"/>
      <x:c r="I16" s="21"/>
      <x:c r="J16" s="21"/>
      <x:c r="K16" s="21"/>
      <x:c r="L16" s="21"/>
    </x:row>
    <x:row r="17">
      <x:c r="A17" s="21" t="str">
        <x:v>基本覆盖</x:v>
      </x:c>
      <x:c r="B17" s="21" t="str">
        <x:v>2—4</x:v>
      </x:c>
      <x:c r="C17" s="21" t="str">
        <x:v>已有代表节点</x:v>
      </x:c>
      <x:c r="D17" s="21" t="str">
        <x:v>优先提升证据质量</x:v>
      </x:c>
      <x:c r="E17" s="21"/>
      <x:c r="F17" s="21"/>
      <x:c r="G17" s="21"/>
      <x:c r="H17" s="21"/>
      <x:c r="I17" s="21"/>
      <x:c r="J17" s="21"/>
      <x:c r="K17" s="21"/>
      <x:c r="L17" s="21"/>
    </x:row>
    <x:row r="18">
      <x:c r="A18" s="21" t="str">
        <x:v>高度集中</x:v>
      </x:c>
      <x:c r="B18" s="21" t="str">
        <x:v>≥5</x:v>
      </x:c>
      <x:c r="C18" s="21" t="str">
        <x:v>可能过密或偏科</x:v>
      </x:c>
      <x:c r="D18" s="21" t="str">
        <x:v>检查是否被战争事件垄断</x:v>
      </x:c>
      <x:c r="E18" s="21"/>
      <x:c r="F18" s="21"/>
      <x:c r="G18" s="21"/>
      <x:c r="H18" s="21"/>
      <x:c r="I18" s="21"/>
      <x:c r="J18" s="21"/>
      <x:c r="K18" s="21"/>
      <x:c r="L18" s="21"/>
    </x:row>
    <x:row r="19">
      <x:c r="A19" s="21" t="str">
        <x:v>注意</x:v>
      </x:c>
      <x:c r="B19" s="21" t="str">
        <x:v>一事件可多主题</x:v>
      </x:c>
      <x:c r="C19" s="21" t="str">
        <x:v>主题总数不等于事件数</x:v>
      </x:c>
      <x:c r="D19" s="21" t="str">
        <x:v>以正式事件映射为准</x:v>
      </x:c>
      <x:c r="E19" s="21"/>
      <x:c r="F19" s="21"/>
      <x:c r="G19" s="21"/>
      <x:c r="H19" s="21"/>
      <x:c r="I19" s="21"/>
      <x:c r="J19" s="21"/>
      <x:c r="K19" s="21"/>
      <x:c r="L19" s="21"/>
    </x:row>
  </x:sheetData>
  <x:mergeCells>
    <x:mergeCell ref="A1:L1"/>
  </x:mergeCells>
  <x:conditionalFormatting sqref="B4:K11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28" hidden="0" customWidth="1"/>
    <x:col min="4" max="4" width="14" hidden="0" customWidth="1"/>
    <x:col min="5" max="5" width="48" hidden="0" customWidth="1"/>
    <x:col min="6" max="6" width="16" hidden="0" customWidth="1"/>
    <x:col min="7" max="7" width="40" hidden="0" customWidth="1"/>
    <x:col min="8" max="8" width="40" hidden="0" customWidth="1"/>
    <x:col min="9" max="9" width="40" hidden="0" customWidth="1"/>
  </x:cols>
  <x:sheetData>
    <x:row r="1">
      <x:c r="A1" s="64" t="str">
        <x:v>下一批专题核证优先级（由25条正式事件覆盖反推）</x:v>
      </x:c>
      <x:c r="B1" s="64"/>
      <x:c r="C1" s="64"/>
      <x:c r="D1" s="64"/>
      <x:c r="E1" s="64"/>
      <x:c r="F1" s="64"/>
      <x:c r="G1" s="64"/>
      <x:c r="H1" s="64"/>
      <x:c r="I1" s="64"/>
    </x:row>
    <x:row r="2">
      <x:c r="A2" s="16"/>
      <x:c r="B2" s="16"/>
      <x:c r="C2" s="16"/>
      <x:c r="D2" s="16"/>
      <x:c r="E2" s="16"/>
      <x:c r="F2" s="16"/>
      <x:c r="G2" s="16"/>
      <x:c r="H2" s="16"/>
      <x:c r="I2" s="16"/>
    </x:row>
    <x:row r="3">
      <x:c r="A3" s="73" t="str">
        <x:v>priority</x:v>
      </x:c>
      <x:c r="B3" s="74" t="str">
        <x:v>theme_code</x:v>
      </x:c>
      <x:c r="C3" s="74" t="str">
        <x:v>theme_name</x:v>
      </x:c>
      <x:c r="D3" s="74" t="str">
        <x:v>formal_count</x:v>
      </x:c>
      <x:c r="E3" s="74" t="str">
        <x:v>coverage_problem</x:v>
      </x:c>
      <x:c r="F3" s="74" t="str">
        <x:v>target_new_events</x:v>
      </x:c>
      <x:c r="G3" s="74" t="str">
        <x:v>recommended_focus</x:v>
      </x:c>
      <x:c r="H3" s="74" t="str">
        <x:v>source_strategy</x:v>
      </x:c>
      <x:c r="I3" s="75" t="str">
        <x:v>stop_rule</x:v>
      </x:c>
    </x:row>
    <x:row r="4">
      <x:c r="A4" s="22" t="n">
        <x:v>1</x:v>
      </x:c>
      <x:c r="B4" s="22" t="str">
        <x:v>T5</x:v>
      </x:c>
      <x:c r="C4" s="22" t="str">
        <x:v>水利与供给</x:v>
      </x:c>
      <x:c r="D4" s="22" t="n">
        <x:f>COUNTIF('正式事件映射'!$G$4:$G$28,"*T5*")</x:f>
        <x:v>0</x:v>
      </x:c>
      <x:c r="E4" s="22" t="str">
        <x:v>总量少，且集中于隋初和733年；唐代城内引水、渠道维修与日常供水缺节点</x:v>
      </x:c>
      <x:c r="F4" s="22" t="str">
        <x:v>2—3</x:v>
      </x:c>
      <x:c r="G4" s="22" t="str">
        <x:v>583年都城引水系统；797年龙首渠工程；其他有确年的渠道修治</x:v>
      </x:c>
      <x:c r="H4" s="22" t="str">
        <x:v>《唐会要》《旧唐书》《长安志》＋水利考古</x:v>
      </x:c>
      <x:c r="I4" s="22" t="str">
        <x:v>找到2个多源互证且可空间定位的节点即停</x:v>
      </x:c>
    </x:row>
    <x:row r="5">
      <x:c r="A5" s="22" t="n">
        <x:v>2</x:v>
      </x:c>
      <x:c r="B5" s="22" t="str">
        <x:v>T7</x:v>
      </x:c>
      <x:c r="C5" s="22" t="str">
        <x:v>宗教空间</x:v>
      </x:c>
      <x:c r="D5" s="22" t="n">
        <x:f>COUNTIF('正式事件映射'!$G$4:$G$28,"*T7*")</x:f>
        <x:v>0</x:v>
      </x:c>
      <x:c r="E5" s="22" t="str">
        <x:v>仅慈恩寺/大雁塔与会昌毁佛，缺道教、国家寺院和外来宗教的代表节点</x:v>
      </x:c>
      <x:c r="F5" s="22" t="str">
        <x:v>1—2</x:v>
      </x:c>
      <x:c r="G5" s="22" t="str">
        <x:v>西明寺与国家寺院；一个有明确年份的外来宗教/道教空间节点</x:v>
      </x:c>
      <x:c r="H5" s="22" t="str">
        <x:v>两唐书、佛教史料、碑铭、寺院考古</x:v>
      </x:c>
      <x:c r="I5" s="22" t="str">
        <x:v>不以单纯“著名”收录，必须有城市空间或居民影响</x:v>
      </x:c>
    </x:row>
    <x:row r="6">
      <x:c r="A6" s="22" t="n">
        <x:v>3</x:v>
      </x:c>
      <x:c r="B6" s="22" t="str">
        <x:v>T6</x:v>
      </x:c>
      <x:c r="C6" s="22" t="str">
        <x:v>坊市与商业</x:v>
      </x:c>
      <x:c r="D6" s="22" t="n">
        <x:f>COUNTIF('正式事件映射'!$G$4:$G$28,"*T6*")</x:f>
        <x:v>0</x:v>
      </x:c>
      <x:c r="E6" s="22" t="str">
        <x:v>数量看似不低，但多由战争中的市里破坏贡献，正常商业运行节点不足</x:v>
      </x:c>
      <x:c r="F6" s="22" t="str">
        <x:v>1—2</x:v>
      </x:c>
      <x:c r="G6" s="22" t="str">
        <x:v>东西市管理、粮价/仓储、具体商业政策或设施；拒绝模糊“繁荣”叙述</x:v>
      </x:c>
      <x:c r="H6" s="22" t="str">
        <x:v>《唐六典》《唐会要》《两京新记》《唐两京城坊考》＋商业史</x:v>
      </x:c>
      <x:c r="I6" s="22" t="str">
        <x:v>仅收具体年份、制度变化和明确长安影响</x:v>
      </x:c>
    </x:row>
    <x:row r="7">
      <x:c r="A7" s="22" t="n">
        <x:v>4</x:v>
      </x:c>
      <x:c r="B7" s="22" t="str">
        <x:v>T8</x:v>
      </x:c>
      <x:c r="C7" s="22" t="str">
        <x:v>居民生活与社会制度</x:v>
      </x:c>
      <x:c r="D7" s="22" t="n">
        <x:f>COUNTIF('正式事件映射'!$G$4:$G$28,"*T8*")</x:f>
        <x:v>0</x:v>
      </x:c>
      <x:c r="E7" s="22" t="str">
        <x:v>覆盖高但战乱、逃难和伤亡占比过大，日常治理和生活机制偏弱</x:v>
      </x:c>
      <x:c r="F7" s="22" t="str">
        <x:v>1—2</x:v>
      </x:c>
      <x:c r="G7" s="22" t="str">
        <x:v>六街治安、夜禁实际执行、城市救济或公共服务的可核节点</x:v>
      </x:c>
      <x:c r="H7" s="22" t="str">
        <x:v>《唐会要》《唐六典》《全唐文》＋生活史研究</x:v>
      </x:c>
      <x:c r="I7" s="22" t="str">
        <x:v>不使用“取消夜禁”等概括性无证结论</x:v>
      </x:c>
    </x:row>
    <x:row r="8">
      <x:c r="A8" s="22" t="n">
        <x:v>5</x:v>
      </x:c>
      <x:c r="B8" s="22" t="str">
        <x:v>T4</x:v>
      </x:c>
      <x:c r="C8" s="22" t="str">
        <x:v>道路城门与交通</x:v>
      </x:c>
      <x:c r="D8" s="22" t="n">
        <x:f>COUNTIF('正式事件映射'!$G$4:$G$28,"*T4*")</x:f>
        <x:v>0</x:v>
      </x:c>
      <x:c r="E8" s="22" t="str">
        <x:v>数量高但多为军事入城路线，日常交通和对外交流节点不足</x:v>
      </x:c>
      <x:c r="F8" s="22" t="str">
        <x:v>1</x:v>
      </x:c>
      <x:c r="G8" s="22" t="str">
        <x:v>驿站、城门管理、夹城或具体使团/交通设施节点</x:v>
      </x:c>
      <x:c r="H8" s="22" t="str">
        <x:v>两唐书、唐会要、交通考古与丝路研究</x:v>
      </x:c>
      <x:c r="I8" s="22" t="str">
        <x:v>有明确年份且能关联城门/道路/驿站实体</x:v>
      </x:c>
    </x:row>
    <x:row r="9">
      <x:c r="A9" s="16"/>
      <x:c r="B9" s="16"/>
      <x:c r="C9" s="16"/>
      <x:c r="D9" s="16"/>
      <x:c r="E9" s="16"/>
      <x:c r="F9" s="16"/>
      <x:c r="G9" s="16"/>
      <x:c r="H9" s="16"/>
      <x:c r="I9" s="16"/>
    </x:row>
    <x:row r="10">
      <x:c r="A10" s="16"/>
      <x:c r="B10" s="16"/>
      <x:c r="C10" s="16"/>
      <x:c r="D10" s="16"/>
      <x:c r="E10" s="16"/>
      <x:c r="F10" s="16"/>
      <x:c r="G10" s="16"/>
      <x:c r="H10" s="16"/>
      <x:c r="I10" s="16"/>
    </x:row>
    <x:row r="11">
      <x:c r="A11" s="73" t="str">
        <x:v>次优先事项</x:v>
      </x:c>
      <x:c r="B11" s="74" t="str">
        <x:v>当前决定</x:v>
      </x:c>
      <x:c r="C11" s="74" t="str">
        <x:v>原因</x:v>
      </x:c>
      <x:c r="D11" s="74" t="str">
        <x:v>重启条件</x:v>
      </x:c>
      <x:c r="E11" s="74" t="str">
        <x:v>建议来源</x:v>
      </x:c>
      <x:c r="F11" s="75" t="str">
        <x:v>备注</x:v>
      </x:c>
      <x:c r="G11" s="16"/>
      <x:c r="H11" s="16"/>
      <x:c r="I11" s="16"/>
    </x:row>
    <x:row r="12">
      <x:c r="A12" s="22" t="str">
        <x:v>742—743漕运工程</x:v>
      </x:c>
      <x:c r="B12" s="22" t="str">
        <x:v>暂缓</x:v>
      </x:c>
      <x:c r="C12" s="22" t="str">
        <x:v>《旧唐书》/《唐两京城坊考》与《新唐书》年份异文</x:v>
      </x:c>
      <x:c r="D12" s="22" t="str">
        <x:v>取得权威点校本或工程考古编年</x:v>
      </x:c>
      <x:c r="E12" s="22" t="str">
        <x:v>中华书局点校本＋水利考古</x:v>
      </x:c>
      <x:c r="F12" s="22" t="str">
        <x:v>不强定单年</x:v>
      </x:c>
      <x:c r="G12" s="16"/>
      <x:c r="H12" s="16"/>
      <x:c r="I12" s="16"/>
    </x:row>
    <x:row r="13">
      <x:c r="A13" s="22" t="str">
        <x:v>766年黎干漕渠</x:v>
      </x:c>
      <x:c r="B13" s="22" t="str">
        <x:v>争议排除</x:v>
      </x:c>
      <x:c r="C13" s="22" t="str">
        <x:v>《旧唐书》称成，《资治通鉴》《新唐书·黎干传》称未成</x:v>
      </x:c>
      <x:c r="D13" s="22" t="str">
        <x:v>取得专门研究对史料系统辨析</x:v>
      </x:c>
      <x:c r="E13" s="22" t="str">
        <x:v>三史权威版＋漕运史</x:v>
      </x:c>
      <x:c r="F13" s="22" t="str">
        <x:v>不作“工程完成”表述</x:v>
      </x:c>
      <x:c r="G13" s="16"/>
      <x:c r="H13" s="16"/>
      <x:c r="I13" s="16"/>
    </x:row>
    <x:row r="14">
      <x:c r="A14" s="22" t="str">
        <x:v>876年京师饥</x:v>
      </x:c>
      <x:c r="B14" s="22" t="str">
        <x:v>证据不足</x:v>
      </x:c>
      <x:c r="C14" s="22" t="str">
        <x:v>只有《新唐书·五行志》直接短记</x:v>
      </x:c>
      <x:c r="D14" s="22" t="str">
        <x:v>找到第二个独立史源并证明城市影响</x:v>
      </x:c>
      <x:c r="E14" s="22" t="str">
        <x:v>《唐会要》《全唐文》、地方志</x:v>
      </x:c>
      <x:c r="F14" s="22" t="str">
        <x:v>目前由733年节点承担灾荒主题</x:v>
      </x:c>
      <x:c r="G14" s="16"/>
      <x:c r="H14" s="16"/>
      <x:c r="I14" s="16"/>
    </x:row>
    <x:row r="15">
      <x:c r="A15" s="22" t="str">
        <x:v>583年都城水系</x:v>
      </x:c>
      <x:c r="B15" s="22" t="str">
        <x:v>高优先待专题核证</x:v>
      </x:c>
      <x:c r="C15" s="22" t="str">
        <x:v>能填补建城配套与居民供水，但需判断是否与582—583建城事件合并</x:v>
      </x:c>
      <x:c r="D15" s="22" t="str">
        <x:v>取得渠线、年份及城市影响的多源证据</x:v>
      </x:c>
      <x:c r="E15" s="22" t="str">
        <x:v>《长安志》《唐两京城坊考》＋考古</x:v>
      </x:c>
      <x:c r="F15" s="22" t="str">
        <x:v>优先补证，不默认单列</x:v>
      </x:c>
      <x:c r="G15" s="16"/>
      <x:c r="H15" s="16"/>
      <x:c r="I15" s="16"/>
    </x:row>
    <x:row r="16">
      <x:c r="A16" s="22" t="str">
        <x:v>797年龙首渠工程</x:v>
      </x:c>
      <x:c r="B16" s="22" t="str">
        <x:v>高优先候选</x:v>
      </x:c>
      <x:c r="C16" s="22" t="str">
        <x:v>年份明确，可说明中唐水系持续维护</x:v>
      </x:c>
      <x:c r="D16" s="22" t="str">
        <x:v>补《唐会要》与渠线研究</x:v>
      </x:c>
      <x:c r="E16" s="22" t="str">
        <x:v>《旧唐书·德宗纪》《唐会要》</x:v>
      </x:c>
      <x:c r="F16" s="22" t="str">
        <x:v>建议作为下一条首核</x:v>
      </x:c>
      <x:c r="G16" s="16"/>
      <x:c r="H16" s="16"/>
      <x:c r="I16" s="16"/>
    </x:row>
  </x:sheetData>
  <x:mergeCells>
    <x:mergeCell ref="A1:I1"/>
  </x:mergeCells>
  <x:conditionalFormatting sqref="A4:A8">
    <x:cfRule type="colorScale" priority="1">
      <x:colorScale>
        <x:cfvo type="min"/>
        <x:cfvo type="percentile" val="50"/>
        <x:cfvo type="max"/>
        <x:color rgb="FFDC2626"/>
        <x:color rgb="FFF59E0B"/>
        <x:color rgb="FF16A34A"/>
      </x:colorScale>
    </x:cfRule>
  </x:conditionalFormatting>
  <x:pageMargins left="0.7" right="0.7" top="0.75" bottom="0.75" header="0.3" footer="0.3"/>
</x:worksheet>
</file>
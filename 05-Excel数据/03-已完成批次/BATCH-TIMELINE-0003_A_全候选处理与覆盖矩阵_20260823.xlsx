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研\研0\挑战杯\0726 知识库\唐长安城知识图谱数据工程\outputs\01a02a2e-1f28-7e80-bd16-d3608a3b9491\"/>
    </mc:Choice>
  </mc:AlternateContent>
  <xr:revisionPtr revIDLastSave="0" documentId="13_ncr:1_{2C1415DC-E9E0-4B08-B29A-7952133CDF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使用说明" sheetId="1" r:id="rId1"/>
    <sheet name="候选事件池" sheetId="2" r:id="rId2"/>
    <sheet name="主题覆盖矩阵" sheetId="3" r:id="rId3"/>
    <sheet name="类型与主题映射" sheetId="4" r:id="rId4"/>
    <sheet name="核证日志" sheetId="5" r:id="rId5"/>
    <sheet name="正式事件映射" sheetId="6" r:id="rId6"/>
    <sheet name="正式覆盖矩阵" sheetId="7" r:id="rId7"/>
    <sheet name="专题优先级" sheetId="8" r:id="rId8"/>
  </sheets>
  <calcPr calcId="191029" forceFullCalc="1"/>
</workbook>
</file>

<file path=xl/calcChain.xml><?xml version="1.0" encoding="utf-8"?>
<calcChain xmlns="http://schemas.openxmlformats.org/spreadsheetml/2006/main">
  <c r="L12" i="7" l="1"/>
  <c r="K12" i="7"/>
  <c r="J12" i="7"/>
  <c r="I12" i="7"/>
  <c r="H12" i="7"/>
  <c r="G12" i="7"/>
  <c r="F12" i="7"/>
  <c r="E12" i="7"/>
  <c r="D12" i="7"/>
  <c r="C12" i="7"/>
  <c r="B12" i="7"/>
  <c r="L11" i="7"/>
  <c r="K11" i="7"/>
  <c r="J11" i="7"/>
  <c r="I11" i="7"/>
  <c r="H11" i="7"/>
  <c r="G11" i="7"/>
  <c r="F11" i="7"/>
  <c r="E11" i="7"/>
  <c r="D11" i="7"/>
  <c r="C11" i="7"/>
  <c r="B11" i="7"/>
  <c r="L10" i="7"/>
  <c r="K10" i="7"/>
  <c r="J10" i="7"/>
  <c r="I10" i="7"/>
  <c r="H10" i="7"/>
  <c r="G10" i="7"/>
  <c r="F10" i="7"/>
  <c r="E10" i="7"/>
  <c r="D10" i="7"/>
  <c r="C10" i="7"/>
  <c r="B10" i="7"/>
  <c r="L9" i="7"/>
  <c r="K9" i="7"/>
  <c r="J9" i="7"/>
  <c r="I9" i="7"/>
  <c r="H9" i="7"/>
  <c r="G9" i="7"/>
  <c r="F9" i="7"/>
  <c r="E9" i="7"/>
  <c r="D9" i="7"/>
  <c r="C9" i="7"/>
  <c r="B9" i="7"/>
  <c r="L8" i="7"/>
  <c r="K8" i="7"/>
  <c r="J8" i="7"/>
  <c r="I8" i="7"/>
  <c r="H8" i="7"/>
  <c r="G8" i="7"/>
  <c r="F8" i="7"/>
  <c r="E8" i="7"/>
  <c r="D8" i="7"/>
  <c r="C8" i="7"/>
  <c r="B8" i="7"/>
  <c r="L7" i="7"/>
  <c r="K7" i="7"/>
  <c r="J7" i="7"/>
  <c r="I7" i="7"/>
  <c r="H7" i="7"/>
  <c r="G7" i="7"/>
  <c r="F7" i="7"/>
  <c r="E7" i="7"/>
  <c r="D7" i="7"/>
  <c r="C7" i="7"/>
  <c r="B7" i="7"/>
  <c r="L6" i="7"/>
  <c r="K6" i="7"/>
  <c r="J6" i="7"/>
  <c r="I6" i="7"/>
  <c r="H6" i="7"/>
  <c r="G6" i="7"/>
  <c r="F6" i="7"/>
  <c r="E6" i="7"/>
  <c r="D6" i="7"/>
  <c r="C6" i="7"/>
  <c r="B6" i="7"/>
  <c r="L5" i="7"/>
  <c r="K5" i="7"/>
  <c r="J5" i="7"/>
  <c r="I5" i="7"/>
  <c r="H5" i="7"/>
  <c r="G5" i="7"/>
  <c r="F5" i="7"/>
  <c r="E5" i="7"/>
  <c r="D5" i="7"/>
  <c r="C5" i="7"/>
  <c r="B5" i="7"/>
  <c r="L4" i="7"/>
  <c r="K4" i="7"/>
  <c r="J4" i="7"/>
  <c r="I4" i="7"/>
  <c r="H4" i="7"/>
  <c r="G4" i="7"/>
  <c r="F4" i="7"/>
  <c r="E4" i="7"/>
  <c r="D4" i="7"/>
  <c r="C4" i="7"/>
  <c r="B4" i="7"/>
  <c r="D8" i="8"/>
  <c r="D7" i="8"/>
  <c r="D6" i="8"/>
  <c r="D5" i="8"/>
  <c r="J28" i="6"/>
  <c r="J27" i="6"/>
  <c r="J26" i="6"/>
  <c r="J25" i="6"/>
  <c r="J24" i="6"/>
  <c r="J23" i="6"/>
  <c r="J22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J5" i="6"/>
  <c r="J4" i="6"/>
</calcChain>
</file>

<file path=xl/sharedStrings.xml><?xml version="1.0" encoding="utf-8"?>
<sst xmlns="http://schemas.openxmlformats.org/spreadsheetml/2006/main" count="1228" uniqueCount="687">
  <si>
    <t>唐长安城大事记候选事件与主题覆盖矩阵</t>
  </si>
  <si>
    <t>项目</t>
  </si>
  <si>
    <t>说明</t>
  </si>
  <si>
    <t>用途</t>
  </si>
  <si>
    <t>检查30—50条最终时间轴是否覆盖重要历史阶段、城市系统和居民生活主题。</t>
  </si>
  <si>
    <t>核心原则</t>
  </si>
  <si>
    <t>event_type是唯一主类型；coverage_theme允许一条事件关联多个主题。</t>
  </si>
  <si>
    <t>候选≠事实</t>
  </si>
  <si>
    <t>“核心候选/补充候选/背景候选”均须完成核年和证据审核后才能录入正式大事记表。</t>
  </si>
  <si>
    <t>当前基线</t>
  </si>
  <si>
    <t>已审核通过25条正式事件；新增“正式事件映射”、“正式覆盖矩阵”和“专题优先级”作为下一批核证依据。</t>
  </si>
  <si>
    <t>使用方法</t>
  </si>
  <si>
    <t>先查看“正式覆盖矩阵”的空白和低覆盖，再按“专题优先级”开展专题检索；候选池仅作历史记录。</t>
  </si>
  <si>
    <t>收录边界</t>
  </si>
  <si>
    <t>全国性政治或制度事件必须证明对长安空间、运行或居民生活有直接影响，否则仅作背景。</t>
  </si>
  <si>
    <t>版本日期</t>
  </si>
  <si>
    <t>2026-08-22</t>
  </si>
  <si>
    <t>评估维度</t>
  </si>
  <si>
    <t>0分</t>
  </si>
  <si>
    <t>1分</t>
  </si>
  <si>
    <t>2分</t>
  </si>
  <si>
    <t>建议</t>
  </si>
  <si>
    <t>历史重要性</t>
  </si>
  <si>
    <t>局部</t>
  </si>
  <si>
    <t>阶段性</t>
  </si>
  <si>
    <t>时代转折</t>
  </si>
  <si>
    <t>是否改变历史进程</t>
  </si>
  <si>
    <t>长安影响</t>
  </si>
  <si>
    <t>间接</t>
  </si>
  <si>
    <t>明显</t>
  </si>
  <si>
    <t>结构性</t>
  </si>
  <si>
    <t>都城地位、城市面貌或运行</t>
  </si>
  <si>
    <t>空间关联</t>
  </si>
  <si>
    <t>无</t>
  </si>
  <si>
    <t>可关联</t>
  </si>
  <si>
    <t>明确定位</t>
  </si>
  <si>
    <t>城门、宫城、坊市、水渠等</t>
  </si>
  <si>
    <t>居民影响</t>
  </si>
  <si>
    <t>广泛</t>
  </si>
  <si>
    <t>交通、供水、商业、宗教、治安、迁徙</t>
  </si>
  <si>
    <t>证据成熟度</t>
  </si>
  <si>
    <t>待找</t>
  </si>
  <si>
    <t>单一来源</t>
  </si>
  <si>
    <t>多源互证</t>
  </si>
  <si>
    <t>正式收录前至少一条可靠证据</t>
  </si>
  <si>
    <t>总分高者优先，不机械按分数收录</t>
  </si>
  <si>
    <t>候选事件池（正式录入前的筛选与核证清单）</t>
  </si>
  <si>
    <t>candidate_key</t>
  </si>
  <si>
    <t>date_display</t>
  </si>
  <si>
    <t>event_name</t>
  </si>
  <si>
    <t>stage_code</t>
  </si>
  <si>
    <t>event_type</t>
  </si>
  <si>
    <t>coverage_theme_codes</t>
  </si>
  <si>
    <t>candidate_status</t>
  </si>
  <si>
    <t>priority</t>
  </si>
  <si>
    <t>evidence_status</t>
  </si>
  <si>
    <t>source_strategy</t>
  </si>
  <si>
    <t>review_note</t>
  </si>
  <si>
    <t>next_action</t>
  </si>
  <si>
    <t>TC-TIMELINE-0001</t>
  </si>
  <si>
    <t>582—583</t>
  </si>
  <si>
    <t>营建大兴城并迁入新都</t>
  </si>
  <si>
    <t>S1</t>
  </si>
  <si>
    <t>CITY_FOUNDING</t>
  </si>
  <si>
    <t>T1;T2;T3;T4;T5;T6</t>
  </si>
  <si>
    <t>已收录</t>
  </si>
  <si>
    <t>核心</t>
  </si>
  <si>
    <t>已核验</t>
  </si>
  <si>
    <t>《隋书》；现代通史；考古复原</t>
  </si>
  <si>
    <t>建城、命名与入居合并为连续事件</t>
  </si>
  <si>
    <t>无需重复录入</t>
  </si>
  <si>
    <t>CAND-0001</t>
  </si>
  <si>
    <t>584前后</t>
  </si>
  <si>
    <t>开凿广通渠并改善都城漕运</t>
  </si>
  <si>
    <t>TRANSPORT</t>
  </si>
  <si>
    <t>T4;T5;T6;T8</t>
  </si>
  <si>
    <t>高</t>
  </si>
  <si>
    <t>《隋书·食货志》；水利考古研究</t>
  </si>
  <si>
    <t>核查渠线、起讫点及对大兴城供给的作用</t>
  </si>
  <si>
    <t>已转正式事件 TC-TIMELINE-0015</t>
  </si>
  <si>
    <t>CAND-0002</t>
  </si>
  <si>
    <t>583年（龙首渠、永安渠）；清明渠为开皇初</t>
  </si>
  <si>
    <t>龙首渠、永安渠和清明渠构成都城主要引水系统</t>
  </si>
  <si>
    <t>URBAN_CONSTRUCTION</t>
  </si>
  <si>
    <t>T2;T5;T8</t>
  </si>
  <si>
    <t>《唐两京城坊考》卷四“龙首渠”“永安渠”“清明渠”；后续补《长安志》与考古资料</t>
  </si>
  <si>
    <t>CAND-0003</t>
  </si>
  <si>
    <t>605</t>
  </si>
  <si>
    <t>营建东都洛阳，影响大兴城政治地位</t>
  </si>
  <si>
    <t>S2</t>
  </si>
  <si>
    <t>CAPITAL_STATUS</t>
  </si>
  <si>
    <t>T1;T3</t>
  </si>
  <si>
    <t>中</t>
  </si>
  <si>
    <t>《隋书·炀帝纪》；《资治通鉴》</t>
  </si>
  <si>
    <t>TC-TIMELINE-0002</t>
  </si>
  <si>
    <t>617—618</t>
  </si>
  <si>
    <t>李渊攻占长安并建立唐朝</t>
  </si>
  <si>
    <t>T1;T3;T9</t>
  </si>
  <si>
    <t>《旧唐书》《新唐书》《资治通鉴》</t>
  </si>
  <si>
    <t>跨隋唐的都城身份转换</t>
  </si>
  <si>
    <t>CAND-0004</t>
  </si>
  <si>
    <t>618前后</t>
  </si>
  <si>
    <t>大兴城改称长安</t>
  </si>
  <si>
    <t>S3</t>
  </si>
  <si>
    <t>T1;T2</t>
  </si>
  <si>
    <t>唐代地理志；两唐书；城市史研究</t>
  </si>
  <si>
    <t>TC-TIMELINE-0003</t>
  </si>
  <si>
    <t>626</t>
  </si>
  <si>
    <t>玄武门之变</t>
  </si>
  <si>
    <t>POLITICAL_CHANGE</t>
  </si>
  <si>
    <t>T3;T4</t>
  </si>
  <si>
    <t>关联太极宫玄武门</t>
  </si>
  <si>
    <t>CAND-0005</t>
  </si>
  <si>
    <t>634—635</t>
  </si>
  <si>
    <t>永安宫始建并改名大明宫</t>
  </si>
  <si>
    <t>T2;T3</t>
  </si>
  <si>
    <t>《唐两京城坊考》卷一“大明宫”；两唐书地理志；后续补考古报告</t>
  </si>
  <si>
    <t>CAND-0006</t>
  </si>
  <si>
    <t>648—652</t>
  </si>
  <si>
    <t>大慈恩寺建立及大雁塔初建</t>
  </si>
  <si>
    <t>T2;T7;T8</t>
  </si>
  <si>
    <t>《唐两京城坊考》卷三“晋昌坊”；《旧唐书·玄奘传》；后续补塔铭与考古资料</t>
  </si>
  <si>
    <t>648年十二月建寺，652年玄奘建塔；属于同一寺院—译经—塔建筑空间链，可暂合并为跨年事件。</t>
  </si>
  <si>
    <t>已转正式事件 TC-TIMELINE-0011</t>
  </si>
  <si>
    <t>CAND-0007</t>
  </si>
  <si>
    <t>656</t>
  </si>
  <si>
    <t>西明寺建立</t>
  </si>
  <si>
    <t>《唐两京城坊考》卷四“延康坊”；后续补两唐书与寺院研究</t>
  </si>
  <si>
    <t>CAND-0008</t>
  </si>
  <si>
    <t>662年以后</t>
  </si>
  <si>
    <t>大明宫扩建并成为主要政治中心</t>
  </si>
  <si>
    <t>T1;T2;T3;T4</t>
  </si>
  <si>
    <t>《旧唐书·地理志》；《唐两京城坊考》卷一“大明宫”；后续补高宗本纪与考古报告</t>
  </si>
  <si>
    <t>龙朔二年置/大修并改名蓬莱宫；《旧唐书》明确称高宗以后天子常居东内。比634年始建更适合作为主时间轴节点。</t>
  </si>
  <si>
    <t>已转正式事件 TC-TIMELINE-0012</t>
  </si>
  <si>
    <t>TC-TIMELINE-0004</t>
  </si>
  <si>
    <t>690</t>
  </si>
  <si>
    <t>武则天改唐为周</t>
  </si>
  <si>
    <t>长安政治中心地位阶段性下降</t>
  </si>
  <si>
    <t>CAND-0009</t>
  </si>
  <si>
    <t>701—704前后</t>
  </si>
  <si>
    <t>大雁塔重建并形成现存基本形态</t>
  </si>
  <si>
    <t>T2;T7</t>
  </si>
  <si>
    <t>两唐书；塔铭；建筑考古研究</t>
  </si>
  <si>
    <t>CAND-0010</t>
  </si>
  <si>
    <t>705</t>
  </si>
  <si>
    <t>唐中宗复位，政治中心返回长安</t>
  </si>
  <si>
    <t>《资治通鉴》；两唐书</t>
  </si>
  <si>
    <t>与690年形成都城地位变化的闭环</t>
  </si>
  <si>
    <t>已转正式事件 TC-TIMELINE-0016</t>
  </si>
  <si>
    <t>CAND-0011</t>
  </si>
  <si>
    <t>710</t>
  </si>
  <si>
    <t>唐隆政变发生于长安宫城</t>
  </si>
  <si>
    <t>低</t>
  </si>
  <si>
    <t>CAND-0012</t>
  </si>
  <si>
    <t>714</t>
  </si>
  <si>
    <t>隆庆旧邸改建兴庆宫</t>
  </si>
  <si>
    <t>S4</t>
  </si>
  <si>
    <t>T2;T3;T8</t>
  </si>
  <si>
    <t>《旧唐书·玄宗纪》；《新唐书·玄宗纪》；《唐两京城坊考》卷一“兴庆宫”</t>
  </si>
  <si>
    <t>开元二年以隆庆里旧邸为兴庆宫，体现坊宅转为宫苑。应与726—728扩建和听政阶段连续叙述。</t>
  </si>
  <si>
    <t>已转正式事件 TC-TIMELINE-0013</t>
  </si>
  <si>
    <t>CAND-0013</t>
  </si>
  <si>
    <t>726—728</t>
  </si>
  <si>
    <t>兴庆宫扩建并开始听政</t>
  </si>
  <si>
    <t>《旧唐书·玄宗纪》；《唐两京城坊考》卷一“兴庆宫”</t>
  </si>
  <si>
    <t>开元十四年扩取永嘉、胜业两坊之半并置朝堂，开元十六年始在兴庆宫听政；建议与714始建合并为714—728的空间转型事件。</t>
  </si>
  <si>
    <t>CAND-0014</t>
  </si>
  <si>
    <t>开元年间</t>
  </si>
  <si>
    <t>长安东西市与坊市商业达到繁盛阶段</t>
  </si>
  <si>
    <t>SOCIAL_POLICY</t>
  </si>
  <si>
    <t>T6;T8</t>
  </si>
  <si>
    <t>唐代城市与商业史研究；制度文献</t>
  </si>
  <si>
    <t>CAND-0015</t>
  </si>
  <si>
    <t>开元—天宝年间</t>
  </si>
  <si>
    <t>外国使节、商人与宗教群体汇聚长安</t>
  </si>
  <si>
    <t>T4;T6;T7;T8</t>
  </si>
  <si>
    <t>两唐书；墓志；宗教与中外交流研究</t>
  </si>
  <si>
    <t>CAND-0016</t>
  </si>
  <si>
    <t>751前后</t>
  </si>
  <si>
    <t>含光门等交通与对外通道功能达到高峰</t>
  </si>
  <si>
    <t>T4;T6;T8</t>
  </si>
  <si>
    <t>城门考古；交通史研究</t>
  </si>
  <si>
    <t>TC-TIMELINE-0005</t>
  </si>
  <si>
    <t>756</t>
  </si>
  <si>
    <t>安史之乱中长安陷落</t>
  </si>
  <si>
    <t>S5</t>
  </si>
  <si>
    <t>WAR</t>
  </si>
  <si>
    <t>T1;T3;T4;T6;T8;T9;T10</t>
  </si>
  <si>
    <t>居民逃散、市场萧条与都城失守</t>
  </si>
  <si>
    <t>CAND-0017</t>
  </si>
  <si>
    <t>757</t>
  </si>
  <si>
    <t>唐军收复长安</t>
  </si>
  <si>
    <t>T1;T3;T4;T8;T9</t>
  </si>
  <si>
    <t>与756陷落构成占领—收复过程</t>
  </si>
  <si>
    <t>已转正式事件 TC-TIMELINE-0017</t>
  </si>
  <si>
    <t>TC-TIMELINE-0006</t>
  </si>
  <si>
    <t>763</t>
  </si>
  <si>
    <t>吐蕃攻占长安</t>
  </si>
  <si>
    <t>T1;T3;T6;T8;T9;T10</t>
  </si>
  <si>
    <t>焚掠府库、市里和住宅</t>
  </si>
  <si>
    <t>CAND-0018</t>
  </si>
  <si>
    <t>郭子仪收复长安</t>
  </si>
  <si>
    <t>T1;T3;T8;T9</t>
  </si>
  <si>
    <t>CAND-0019</t>
  </si>
  <si>
    <t>765</t>
  </si>
  <si>
    <t>吐蕃、回纥逼近京畿，长安戒严</t>
  </si>
  <si>
    <t>T4;T8;T9</t>
  </si>
  <si>
    <t>CAND-0020</t>
  </si>
  <si>
    <t>780前后</t>
  </si>
  <si>
    <t>两税法实施并改变京师财政与居民负担</t>
  </si>
  <si>
    <t>S6</t>
  </si>
  <si>
    <t>《旧唐书·食货志》；制度史研究</t>
  </si>
  <si>
    <t>TC-TIMELINE-0007</t>
  </si>
  <si>
    <t>783</t>
  </si>
  <si>
    <t>泾原兵变</t>
  </si>
  <si>
    <t>兵变入城与皇帝出奔</t>
  </si>
  <si>
    <t>CAND-0021</t>
  </si>
  <si>
    <t>784</t>
  </si>
  <si>
    <t>李晟收复长安</t>
  </si>
  <si>
    <t>与783兵变构成失守—收复闭环</t>
  </si>
  <si>
    <t>已转正式事件 TC-TIMELINE-0018</t>
  </si>
  <si>
    <t>CAND-0022</t>
  </si>
  <si>
    <t>806前后</t>
  </si>
  <si>
    <t>六街街使等京城治安管理强化</t>
  </si>
  <si>
    <t>会要、两唐书与城市管理研究</t>
  </si>
  <si>
    <t>CAND-0023</t>
  </si>
  <si>
    <t>中唐</t>
  </si>
  <si>
    <t>长安坊市夜间活动与管理发生变化</t>
  </si>
  <si>
    <t>律令、笔记与商业史研究</t>
  </si>
  <si>
    <t>CAND-0024</t>
  </si>
  <si>
    <t>835</t>
  </si>
  <si>
    <t>甘露之变及宫城内大规模杀戮</t>
  </si>
  <si>
    <t>T3;T4;T8;T9</t>
  </si>
  <si>
    <t>突出宫城空间、禁军与官僚活动的关系</t>
  </si>
  <si>
    <t>已转正式事件 TC-TIMELINE-0019</t>
  </si>
  <si>
    <t>CAND-0025</t>
  </si>
  <si>
    <t>845</t>
  </si>
  <si>
    <t>会昌毁佛大规模裁撤寺院和僧尼</t>
  </si>
  <si>
    <t>S7</t>
  </si>
  <si>
    <t>T2;T7;T8;T10</t>
  </si>
  <si>
    <t>《新唐书·武宗纪》；《旧唐书·武宗纪》；《唐两京城坊考》卷三“慈恩寺”</t>
  </si>
  <si>
    <t>会昌五年八月大毁佛寺、僧尼还俗；长安仅保留少数寺院，直接重组宗教空间和相关人口。846年政策调整可在说明中交代。</t>
  </si>
  <si>
    <t>已转正式事件 TC-TIMELINE-0014</t>
  </si>
  <si>
    <t>CAND-0026</t>
  </si>
  <si>
    <t>797</t>
  </si>
  <si>
    <t>引龙首渠水至太清宫前</t>
  </si>
  <si>
    <t>T3;T5;T8</t>
  </si>
  <si>
    <t>《旧唐书·德宗纪》；《唐两京城坊考》卷四“龙首渠”</t>
  </si>
  <si>
    <t>CAND-0027</t>
  </si>
  <si>
    <t>873—874</t>
  </si>
  <si>
    <t>关中灾荒与粮价危机影响长安</t>
  </si>
  <si>
    <t>DISASTER</t>
  </si>
  <si>
    <t>T5;T6;T8;T9</t>
  </si>
  <si>
    <t>排除</t>
  </si>
  <si>
    <t>证据不足</t>
  </si>
  <si>
    <t>《资治通鉴》；两唐书；灾荒史研究</t>
  </si>
  <si>
    <t>873—874年时间框架未获史料支持；876年“京师饥”目前仅有《新唐书》直接记载。</t>
  </si>
  <si>
    <t>已以三源互证的733年京师饥与漕运改革替代</t>
  </si>
  <si>
    <t>CAND-0028</t>
  </si>
  <si>
    <t>879—880</t>
  </si>
  <si>
    <t>黄巢军逼近，僖宗撤离长安</t>
  </si>
  <si>
    <t>S8</t>
  </si>
  <si>
    <t>T1;T4;T8;T9</t>
  </si>
  <si>
    <t>TC-TIMELINE-0008</t>
  </si>
  <si>
    <t>881</t>
  </si>
  <si>
    <t>黄巢军占领长安</t>
  </si>
  <si>
    <t>关联春明门、太极殿、大明宫和含元殿</t>
  </si>
  <si>
    <t>CAND-0029</t>
  </si>
  <si>
    <t>883</t>
  </si>
  <si>
    <t>唐军收复长安，黄巢退出</t>
  </si>
  <si>
    <t>T1;T3;T4;T8;T9;T10</t>
  </si>
  <si>
    <t>核查收复过程及城市损毁程度</t>
  </si>
  <si>
    <t>已转正式事件 TC-TIMELINE-0020</t>
  </si>
  <si>
    <t>CAND-0030</t>
  </si>
  <si>
    <t>885—886</t>
  </si>
  <si>
    <t>田令孜与王重荣冲突，僖宗再次出奔</t>
  </si>
  <si>
    <t>反映唐末都城控制持续瓦解</t>
  </si>
  <si>
    <t>已转正式事件 TC-TIMELINE-0022</t>
  </si>
  <si>
    <t>CAND-0031</t>
  </si>
  <si>
    <t>895</t>
  </si>
  <si>
    <t>李茂贞等入京及昭宗出奔</t>
  </si>
  <si>
    <t>与后续军阀控制长安连续，考虑合并</t>
  </si>
  <si>
    <t>已转正式事件 TC-TIMELINE-0023/0024</t>
  </si>
  <si>
    <t>CAND-0032</t>
  </si>
  <si>
    <t>901—903</t>
  </si>
  <si>
    <t>昭宗被劫往凤翔后返回长安</t>
  </si>
  <si>
    <t>表现皇权、宦官与军阀争夺都城</t>
  </si>
  <si>
    <t>已转正式事件 TC-TIMELINE-0025</t>
  </si>
  <si>
    <t>TC-TIMELINE-0009</t>
  </si>
  <si>
    <t>904</t>
  </si>
  <si>
    <t>朱温强迫迁都并拆毁长安</t>
  </si>
  <si>
    <t>T1;T2;T3;T6;T8;T10</t>
  </si>
  <si>
    <t>《资治通鉴》；《旧唐书》</t>
  </si>
  <si>
    <t>居民按籍迁徙，宫室官署民宅系统拆毁</t>
  </si>
  <si>
    <t>TC-TIMELINE-0010</t>
  </si>
  <si>
    <t>907</t>
  </si>
  <si>
    <t>唐朝灭亡</t>
  </si>
  <si>
    <t>T1;T10</t>
  </si>
  <si>
    <t>长安全国性首都时代终结</t>
  </si>
  <si>
    <t>历史阶段 × 主题覆盖矩阵（统计快照；候选不等于正式收录）</t>
  </si>
  <si>
    <t>阶段</t>
  </si>
  <si>
    <t>都城地位</t>
  </si>
  <si>
    <t>城市规划与营建</t>
  </si>
  <si>
    <t>宫城与政治空间</t>
  </si>
  <si>
    <t>道路城门与交通</t>
  </si>
  <si>
    <t>水利与供给</t>
  </si>
  <si>
    <t>坊市与商业</t>
  </si>
  <si>
    <t>宗教空间</t>
  </si>
  <si>
    <t>居民生活与社会制度</t>
  </si>
  <si>
    <t>战争灾害与城市安全</t>
  </si>
  <si>
    <t>衰落、破坏与人口迁移</t>
  </si>
  <si>
    <t>阶段合计</t>
  </si>
  <si>
    <t>S1 隋初建城（581—604）</t>
  </si>
  <si>
    <t>S2 隋炀帝及隋末（605—617）</t>
  </si>
  <si>
    <t>S3 初唐（618—712）</t>
  </si>
  <si>
    <t>S4 盛唐（713—755）</t>
  </si>
  <si>
    <t>S5 安史之乱及恢复（756—779）</t>
  </si>
  <si>
    <t>S6 中唐（780—835）</t>
  </si>
  <si>
    <t>S7 晚唐（836—879）</t>
  </si>
  <si>
    <t>S8 唐末与都城终结（880—907）</t>
  </si>
  <si>
    <t>主题总计</t>
  </si>
  <si>
    <t>判读规则</t>
  </si>
  <si>
    <t>条件</t>
  </si>
  <si>
    <t>含义</t>
  </si>
  <si>
    <t>处理</t>
  </si>
  <si>
    <t>空白</t>
  </si>
  <si>
    <t>主题/阶段缺口</t>
  </si>
  <si>
    <t>必须专题检索</t>
  </si>
  <si>
    <t>低覆盖</t>
  </si>
  <si>
    <t>仅一个节点</t>
  </si>
  <si>
    <t>检查是否遗漏或过度合并</t>
  </si>
  <si>
    <t>适中</t>
  </si>
  <si>
    <t>2—4</t>
  </si>
  <si>
    <t>已有代表节点</t>
  </si>
  <si>
    <t>继续核证质量</t>
  </si>
  <si>
    <t>高覆盖</t>
  </si>
  <si>
    <t>≥5</t>
  </si>
  <si>
    <t>可能事件过密</t>
  </si>
  <si>
    <t>检查是否偏科或可合并</t>
  </si>
  <si>
    <t>注意</t>
  </si>
  <si>
    <t>候选也计数</t>
  </si>
  <si>
    <t>不代表已正式覆盖</t>
  </si>
  <si>
    <t>最终版须另看已收录矩阵</t>
  </si>
  <si>
    <t>更新方式</t>
  </si>
  <si>
    <t>由候选池生成</t>
  </si>
  <si>
    <t>当前为2026-08-22统计快照</t>
  </si>
  <si>
    <t>候选池变更后重新生成矩阵</t>
  </si>
  <si>
    <t>合法 event_type 与覆盖主题的关系</t>
  </si>
  <si>
    <t>中文名称</t>
  </si>
  <si>
    <t>常见主题代码</t>
  </si>
  <si>
    <t>主题代码</t>
  </si>
  <si>
    <t>主题名称</t>
  </si>
  <si>
    <t>使用边界</t>
  </si>
  <si>
    <t>建城与定都</t>
  </si>
  <si>
    <t>主类型只能选一个；主题可多选，不能把组合主题写回event_type。</t>
  </si>
  <si>
    <t>T1</t>
  </si>
  <si>
    <t>用于项目级覆盖检查，不替代事件类型。</t>
  </si>
  <si>
    <t>城市建设</t>
  </si>
  <si>
    <t>T2;T3;T4;T5;T6;T7</t>
  </si>
  <si>
    <t>T2</t>
  </si>
  <si>
    <t>政治变局</t>
  </si>
  <si>
    <t>T1;T3;T8</t>
  </si>
  <si>
    <t>T3</t>
  </si>
  <si>
    <t>战争与动乱</t>
  </si>
  <si>
    <t>T4</t>
  </si>
  <si>
    <t>灾害</t>
  </si>
  <si>
    <t>T5;T8;T9;T10</t>
  </si>
  <si>
    <t>T5</t>
  </si>
  <si>
    <t>交通与交流</t>
  </si>
  <si>
    <t>T6</t>
  </si>
  <si>
    <t>制度与社会</t>
  </si>
  <si>
    <t>T5;T6;T7;T8</t>
  </si>
  <si>
    <t>T7</t>
  </si>
  <si>
    <t>都城地位变化</t>
  </si>
  <si>
    <t>T1;T3;T10</t>
  </si>
  <si>
    <t>T8</t>
  </si>
  <si>
    <t>T9</t>
  </si>
  <si>
    <t>T10</t>
  </si>
  <si>
    <t>阶段代码</t>
  </si>
  <si>
    <t>阶段名称</t>
  </si>
  <si>
    <t>年份范围</t>
  </si>
  <si>
    <t>隋初建城</t>
  </si>
  <si>
    <t>581—604</t>
  </si>
  <si>
    <t>隋炀帝及隋末</t>
  </si>
  <si>
    <t>605—617</t>
  </si>
  <si>
    <t>初唐</t>
  </si>
  <si>
    <t>618—712</t>
  </si>
  <si>
    <t>盛唐</t>
  </si>
  <si>
    <t>713—755</t>
  </si>
  <si>
    <t>安史之乱及恢复</t>
  </si>
  <si>
    <t>756—779</t>
  </si>
  <si>
    <t>780—835</t>
  </si>
  <si>
    <t>晚唐</t>
  </si>
  <si>
    <t>836—879</t>
  </si>
  <si>
    <t>唐末与都城终结</t>
  </si>
  <si>
    <t>880—907</t>
  </si>
  <si>
    <t>候选事件核证日志（不等于正式大事记）</t>
  </si>
  <si>
    <t>核证结论</t>
  </si>
  <si>
    <t>日期处理</t>
  </si>
  <si>
    <t>主要依据</t>
  </si>
  <si>
    <t>空间意义</t>
  </si>
  <si>
    <t>遗留任务</t>
  </si>
  <si>
    <t>是否可直接正式录入</t>
  </si>
  <si>
    <t>核证日期</t>
  </si>
  <si>
    <t>初步成立</t>
  </si>
  <si>
    <t>龙首渠、永安渠定为583；清明渠仅定开皇初</t>
  </si>
  <si>
    <t>《唐两京城坊考》卷四水渠条</t>
  </si>
  <si>
    <t>形成宫城、皇城、坊市供水骨架</t>
  </si>
  <si>
    <t>补一手文献和考古资料</t>
  </si>
  <si>
    <t>否</t>
  </si>
  <si>
    <t>成立但宜作前史</t>
  </si>
  <si>
    <t>634始置永安宫，635改大明宫</t>
  </si>
  <si>
    <t>《唐两京城坊考》卷一；两唐书地理志</t>
  </si>
  <si>
    <t>大明宫空间起点</t>
  </si>
  <si>
    <t>与662事件比较取舍</t>
  </si>
  <si>
    <t>648建寺、652建塔</t>
  </si>
  <si>
    <t>《唐两京城坊考》卷三；《旧唐书·玄奘传》</t>
  </si>
  <si>
    <t>国家寺院、译经和塔建筑节点</t>
  </si>
  <si>
    <t>补塔铭与考古证据</t>
  </si>
  <si>
    <t>成立并纠年</t>
  </si>
  <si>
    <t>658改为656</t>
  </si>
  <si>
    <t>《唐两京城坊考》卷四延康坊</t>
  </si>
  <si>
    <t>国家寺院与坊内宗教空间</t>
  </si>
  <si>
    <t>补正史原文并评估总量</t>
  </si>
  <si>
    <t>核心节点初步成立</t>
  </si>
  <si>
    <t>《旧唐书·地理志》；《唐两京城坊考》卷一</t>
  </si>
  <si>
    <t>政治中心由太极宫转向大明宫</t>
  </si>
  <si>
    <t>补高宗本纪与考古报告</t>
  </si>
  <si>
    <t>两唐书玄宗纪；《唐两京城坊考》卷一</t>
  </si>
  <si>
    <t>隆庆坊旧邸转为宫苑</t>
  </si>
  <si>
    <t>与扩建阶段合并</t>
  </si>
  <si>
    <t>726扩建、728始听政</t>
  </si>
  <si>
    <t>《旧唐书·玄宗纪》；《唐两京城坊考》卷一</t>
  </si>
  <si>
    <t>兴庆宫成为政治空间</t>
  </si>
  <si>
    <t>与714事件合并并补考古</t>
  </si>
  <si>
    <t>定为845</t>
  </si>
  <si>
    <t>两唐书武宗纪；《唐两京城坊考》卷三</t>
  </si>
  <si>
    <t>长安寺院和僧尼空间重组</t>
  </si>
  <si>
    <t>补《资治通鉴》与具体数量</t>
  </si>
  <si>
    <t>timeline_key</t>
  </si>
  <si>
    <t>ce_year</t>
  </si>
  <si>
    <t>review_status</t>
  </si>
  <si>
    <t>chunk_keys</t>
  </si>
  <si>
    <t>evidence_count</t>
  </si>
  <si>
    <t>source_key</t>
  </si>
  <si>
    <t>mapping_note</t>
  </si>
  <si>
    <t>582—583年（开皇二年至三年）</t>
  </si>
  <si>
    <t>通过</t>
  </si>
  <si>
    <t>TC-CHUNK-2112;TC-CHUNK-2184;TC-CHUNK-2185;TC-CHUNK-2186</t>
  </si>
  <si>
    <t>TC-REF-0206</t>
  </si>
  <si>
    <t>主题映射依据事件摘要、历史意义、居民影响及空间实体综合判定；不等同event_type。</t>
  </si>
  <si>
    <t>TC-TIMELINE-0015</t>
  </si>
  <si>
    <t>584年（开皇四年六月）</t>
  </si>
  <si>
    <t>开凿广通渠改善大兴城漕运</t>
  </si>
  <si>
    <t>TC-CHUNK-2214</t>
  </si>
  <si>
    <t>TC-REF-0203</t>
  </si>
  <si>
    <t>617—618年（义宁元年至武德元年）</t>
  </si>
  <si>
    <t>TC-CHUNK-2113;TC-CHUNK-2172;TC-CHUNK-2189;TC-CHUNK-2190;TC-CHUNK-2191</t>
  </si>
  <si>
    <t>TC-REF-0204</t>
  </si>
  <si>
    <t>626年（武德九年六月初四）</t>
  </si>
  <si>
    <t>TC-CHUNK-2114;TC-CHUNK-2173;TC-CHUNK-2192;TC-CHUNK-2193</t>
  </si>
  <si>
    <t>TC-TIMELINE-0011</t>
  </si>
  <si>
    <t>648—652年（贞观二十二年至永徽三年）</t>
  </si>
  <si>
    <t>大慈恩寺建立与大雁塔初建</t>
  </si>
  <si>
    <t>TC-CHUNK-2204;TC-CHUNK-2205</t>
  </si>
  <si>
    <t>TC-TIMELINE-0012</t>
  </si>
  <si>
    <t>662年以后（龙朔二年以后）</t>
  </si>
  <si>
    <t>扩建大明宫并形成新的政治中心</t>
  </si>
  <si>
    <t>TC-CHUNK-2206;TC-CHUNK-2207</t>
  </si>
  <si>
    <t>690年（天授元年九月初九）</t>
  </si>
  <si>
    <t>TC-CHUNK-2115;TC-CHUNK-2174;TC-CHUNK-2194;TC-CHUNK-2195</t>
  </si>
  <si>
    <t>TC-TIMELINE-0016</t>
  </si>
  <si>
    <t>705—706年（神龙元年至二年）</t>
  </si>
  <si>
    <t>中宗复唐并返回长安</t>
  </si>
  <si>
    <t>TC-CHUNK-2215;TC-CHUNK-2216;TC-CHUNK-2217</t>
  </si>
  <si>
    <t>TC-TIMELINE-0013</t>
  </si>
  <si>
    <t>714—728年（开元二年至十六年）</t>
  </si>
  <si>
    <t>兴庆宫建立、扩建并开始听政</t>
  </si>
  <si>
    <t>T1;T2;T3;T4;T8</t>
  </si>
  <si>
    <t>TC-CHUNK-2208;TC-CHUNK-2209;TC-CHUNK-2210</t>
  </si>
  <si>
    <t>TC-TIMELINE-0021</t>
  </si>
  <si>
    <t>733年（开元二十一年）</t>
  </si>
  <si>
    <t>关中久雨致京师饥，太仓赈粮并推动漕运改革</t>
  </si>
  <si>
    <t>T4;T5;T6;T8;T9</t>
  </si>
  <si>
    <t>TC-CHUNK-2230;TC-CHUNK-2231;TC-CHUNK-2232</t>
  </si>
  <si>
    <t>756年（天宝十五载／至德元载）</t>
  </si>
  <si>
    <t>TC-CHUNK-2116;TC-CHUNK-2175;TC-CHUNK-2181;TC-CHUNK-2187;TC-CHUNK-2188</t>
  </si>
  <si>
    <t>TC-TIMELINE-0017</t>
  </si>
  <si>
    <t>757年（至德二载九月至十月）</t>
  </si>
  <si>
    <t>唐军收复长安并恢复朝廷驻京</t>
  </si>
  <si>
    <t>TC-CHUNK-2218;TC-CHUNK-2219;TC-CHUNK-2220</t>
  </si>
  <si>
    <t>763年（广德元年十月十四日）</t>
  </si>
  <si>
    <t>TC-CHUNK-2117;TC-CHUNK-2176;TC-CHUNK-2196;TC-CHUNK-2197</t>
  </si>
  <si>
    <t>783年（建中四年十月初二）</t>
  </si>
  <si>
    <t>TC-CHUNK-2118;TC-CHUNK-2177;TC-CHUNK-2198;TC-CHUNK-2199</t>
  </si>
  <si>
    <t>TC-TIMELINE-0018</t>
  </si>
  <si>
    <t>784年（兴元元年五月二十八日）</t>
  </si>
  <si>
    <t>李晟收复长安并恢复城市秩序</t>
  </si>
  <si>
    <t>TC-CHUNK-2221;TC-CHUNK-2222;TC-CHUNK-2223</t>
  </si>
  <si>
    <t>TC-TIMELINE-0019</t>
  </si>
  <si>
    <t>835年（太和九年十一月二十一日）</t>
  </si>
  <si>
    <t>甘露之变及神策军大搜捕</t>
  </si>
  <si>
    <t>TC-CHUNK-2224;TC-CHUNK-2225;TC-CHUNK-2226</t>
  </si>
  <si>
    <t>TC-TIMELINE-0014</t>
  </si>
  <si>
    <t>845年（会昌五年）</t>
  </si>
  <si>
    <t>会昌毁佛重组长安寺院空间</t>
  </si>
  <si>
    <t>TC-CHUNK-2211;TC-CHUNK-2212;TC-CHUNK-2213</t>
  </si>
  <si>
    <t>881年1月8日（广明元年十二月初五）</t>
  </si>
  <si>
    <t>TC-CHUNK-2119;TC-CHUNK-2178;TC-CHUNK-2182;TC-CHUNK-2200;TC-CHUNK-2201</t>
  </si>
  <si>
    <t>TC-TIMELINE-0020</t>
  </si>
  <si>
    <t>883年（中和三年四月）</t>
  </si>
  <si>
    <t>唐军再度收复长安，城市严重残破</t>
  </si>
  <si>
    <t>TC-CHUNK-2227;TC-CHUNK-2228;TC-CHUNK-2229</t>
  </si>
  <si>
    <t>TC-TIMELINE-0022</t>
  </si>
  <si>
    <t>885—886年（中和五年至光启二年）</t>
  </si>
  <si>
    <t>田令孜与藩镇冲突导致僖宗再度出奔</t>
  </si>
  <si>
    <t>TC-CHUNK-2233;TC-CHUNK-2234;TC-CHUNK-2235</t>
  </si>
  <si>
    <t>TC-TIMELINE-0023</t>
  </si>
  <si>
    <t>895年（乾宁二年五月至八月）</t>
  </si>
  <si>
    <t>三镇军队犯京，昭宗出奔石门</t>
  </si>
  <si>
    <t>TC-CHUNK-2236;TC-CHUNK-2237;TC-CHUNK-2238</t>
  </si>
  <si>
    <t>TC-TIMELINE-0024</t>
  </si>
  <si>
    <t>896年（乾宁三年六月至七月）</t>
  </si>
  <si>
    <t>李茂贞逼京，昭宗避居华州，长安修复成果被焚尽</t>
  </si>
  <si>
    <t>TC-CHUNK-2239;TC-CHUNK-2240;TC-CHUNK-2241</t>
  </si>
  <si>
    <t>TC-TIMELINE-0025</t>
  </si>
  <si>
    <t>901—903年（天复元年至三年）</t>
  </si>
  <si>
    <t>TC-CHUNK-2242;TC-CHUNK-2243;TC-CHUNK-2244</t>
  </si>
  <si>
    <t>904年（天复四年／天祐元年）</t>
  </si>
  <si>
    <t>TC-CHUNK-2120;TC-CHUNK-2179;TC-CHUNK-2202</t>
  </si>
  <si>
    <t>907年（天祐四年／开平元年）</t>
  </si>
  <si>
    <t>TC-CHUNK-2121;TC-CHUNK-2180;TC-CHUNK-2183;TC-CHUNK-2203</t>
  </si>
  <si>
    <t>阶段事件数</t>
  </si>
  <si>
    <t>主题事件数</t>
  </si>
  <si>
    <t>判读等级</t>
  </si>
  <si>
    <t>下一步</t>
  </si>
  <si>
    <t>该阶段主题无正式事件</t>
  </si>
  <si>
    <t>优先专题检索</t>
  </si>
  <si>
    <t>仅有一个代表节点</t>
  </si>
  <si>
    <t>检查遗漏或过度合并</t>
  </si>
  <si>
    <t>基本覆盖</t>
  </si>
  <si>
    <t>优先提升证据质量</t>
  </si>
  <si>
    <t>高度集中</t>
  </si>
  <si>
    <t>可能过密或偏科</t>
  </si>
  <si>
    <t>检查是否被战争事件垄断</t>
  </si>
  <si>
    <t>一事件可多主题</t>
  </si>
  <si>
    <t>主题总数不等于事件数</t>
  </si>
  <si>
    <t>以正式事件映射为准</t>
  </si>
  <si>
    <t>theme_code</t>
  </si>
  <si>
    <t>theme_name</t>
  </si>
  <si>
    <t>formal_count</t>
  </si>
  <si>
    <t>coverage_problem</t>
  </si>
  <si>
    <t>target_new_events</t>
  </si>
  <si>
    <t>recommended_focus</t>
  </si>
  <si>
    <t>stop_rule</t>
  </si>
  <si>
    <t>2—3</t>
  </si>
  <si>
    <t>《唐会要》《旧唐书》《长安志》＋水利考古</t>
  </si>
  <si>
    <t>找到2个多源互证且可空间定位的节点即停</t>
  </si>
  <si>
    <t>仅慈恩寺/大雁塔与会昌毁佛，缺道教、国家寺院和外来宗教的代表节点</t>
  </si>
  <si>
    <t>1—2</t>
  </si>
  <si>
    <t>西明寺与国家寺院；一个有明确年份的外来宗教/道教空间节点</t>
  </si>
  <si>
    <t>两唐书、佛教史料、碑铭、寺院考古</t>
  </si>
  <si>
    <t>不以单纯“著名”收录，必须有城市空间或居民影响</t>
  </si>
  <si>
    <t>数量看似不低，但多由战争中的市里破坏贡献，正常商业运行节点不足</t>
  </si>
  <si>
    <t>东西市管理、粮价/仓储、具体商业政策或设施；拒绝模糊“繁荣”叙述</t>
  </si>
  <si>
    <t>《唐六典》《唐会要》《两京新记》《唐两京城坊考》＋商业史</t>
  </si>
  <si>
    <t>仅收具体年份、制度变化和明确长安影响</t>
  </si>
  <si>
    <t>覆盖高但战乱、逃难和伤亡占比过大，日常治理和生活机制偏弱</t>
  </si>
  <si>
    <t>六街治安、夜禁实际执行、城市救济或公共服务的可核节点</t>
  </si>
  <si>
    <t>《唐会要》《唐六典》《全唐文》＋生活史研究</t>
  </si>
  <si>
    <t>不使用“取消夜禁”等概括性无证结论</t>
  </si>
  <si>
    <t>数量高但多为军事入城路线，日常交通和对外交流节点不足</t>
  </si>
  <si>
    <t>1</t>
  </si>
  <si>
    <t>驿站、城门管理、夹城或具体使团/交通设施节点</t>
  </si>
  <si>
    <t>两唐书、唐会要、交通考古与丝路研究</t>
  </si>
  <si>
    <t>有明确年份且能关联城门/道路/驿站实体</t>
  </si>
  <si>
    <t>次优先事项</t>
  </si>
  <si>
    <t>当前决定</t>
  </si>
  <si>
    <t>原因</t>
  </si>
  <si>
    <t>重启条件</t>
  </si>
  <si>
    <t>建议来源</t>
  </si>
  <si>
    <t>备注</t>
  </si>
  <si>
    <t>742—743漕运工程</t>
  </si>
  <si>
    <t>暂缓</t>
  </si>
  <si>
    <t>《旧唐书》/《唐两京城坊考》与《新唐书》年份异文</t>
  </si>
  <si>
    <t>取得权威点校本或工程考古编年</t>
  </si>
  <si>
    <t>中华书局点校本＋水利考古</t>
  </si>
  <si>
    <t>不强定单年</t>
  </si>
  <si>
    <t>766年黎干漕渠</t>
  </si>
  <si>
    <t>争议排除</t>
  </si>
  <si>
    <t>《旧唐书》称成，《资治通鉴》《新唐书·黎干传》称未成</t>
  </si>
  <si>
    <t>取得专门研究对史料系统辨析</t>
  </si>
  <si>
    <t>三史权威版＋漕运史</t>
  </si>
  <si>
    <t>不作“工程完成”表述</t>
  </si>
  <si>
    <t>876年京师饥</t>
  </si>
  <si>
    <t>只有《新唐书·五行志》直接短记</t>
  </si>
  <si>
    <t>找到第二个独立史源并证明城市影响</t>
  </si>
  <si>
    <t>《唐会要》《全唐文》、地方志</t>
  </si>
  <si>
    <t>目前由733年节点承担灾荒主题</t>
  </si>
  <si>
    <t>583年都城水系</t>
  </si>
  <si>
    <t>高优先待专题核证</t>
  </si>
  <si>
    <t>能填补建城配套与居民供水，但需判断是否与582—583建城事件合并</t>
  </si>
  <si>
    <t>取得渠线、年份及城市影响的多源证据</t>
  </si>
  <si>
    <t>《长安志》《唐两京城坊考》＋考古</t>
  </si>
  <si>
    <t>优先补证，不默认单列</t>
  </si>
  <si>
    <t>797年龙首渠工程</t>
  </si>
  <si>
    <t>高优先候选</t>
  </si>
  <si>
    <t>年份明确，可说明中唐水系持续维护</t>
  </si>
  <si>
    <t>《旧唐书》明确记贞元十三年六月辛巳自通化门引龙首渠水至太清宫前；《唐两京城坊考》补充由永嘉坊西北分支至大宁坊太清宫前。该节点是既有渠系分支延伸，不是龙首渠初开。</t>
    <phoneticPr fontId="8" type="noConversion"/>
  </si>
  <si>
    <t>高</t>
    <phoneticPr fontId="8" type="noConversion"/>
  </si>
  <si>
    <t>CAND-0026</t>
    <phoneticPr fontId="8" type="noConversion"/>
  </si>
  <si>
    <t>797年（贞元十三年六月）；辛巳为引水工程节点</t>
    <phoneticPr fontId="8" type="noConversion"/>
  </si>
  <si>
    <t>《旧唐书·德宗纪》；《唐两京城坊考》卷四“龙首渠”</t>
    <phoneticPr fontId="8" type="noConversion"/>
  </si>
  <si>
    <t>既有龙首渠由通化门方向分支延伸至太清宫前</t>
    <phoneticPr fontId="8" type="noConversion"/>
  </si>
  <si>
    <t>已收录</t>
    <phoneticPr fontId="8" type="noConversion"/>
  </si>
  <si>
    <t>已核验</t>
    <phoneticPr fontId="8" type="noConversion"/>
  </si>
  <si>
    <t>已转正式事件 TC-TIMELINE-0026</t>
    <phoneticPr fontId="8" type="noConversion"/>
  </si>
  <si>
    <t>成立并通过，单列</t>
    <phoneticPr fontId="8" type="noConversion"/>
  </si>
  <si>
    <t>太清宫稳定实体编号待宗教空间专题查重</t>
    <phoneticPr fontId="8" type="noConversion"/>
  </si>
  <si>
    <t>是，已录入 TC-TIMELINE-0026</t>
    <phoneticPr fontId="8" type="noConversion"/>
  </si>
  <si>
    <t>TC-TIMELINE-0026</t>
  </si>
  <si>
    <t>797年（贞元十三年六月）</t>
  </si>
  <si>
    <t>分引龙首渠水至太清宫前</t>
  </si>
  <si>
    <t>TC-CHUNK-2245;TC-CHUNK-2246</t>
  </si>
  <si>
    <t>两源互证；按既有龙首渠分支延伸理解，不作初开渠。主题映射依据事件摘要、历史意义、居民影响及空间实体综合判定。</t>
  </si>
  <si>
    <t>下一批专题核证优先级（由26条正式事件覆盖反推）</t>
    <phoneticPr fontId="8" type="noConversion"/>
  </si>
  <si>
    <t>已有隋初建城与733年漕运节点，并新增797年城内引水支线；仍需完成583年都城引水系统的单列/合并判断</t>
    <phoneticPr fontId="8" type="noConversion"/>
  </si>
  <si>
    <t>583年龙首渠、永安渠及清明渠：补证后决定与建城事件合并或单列</t>
    <phoneticPr fontId="8" type="noConversion"/>
  </si>
  <si>
    <t>已完成</t>
    <phoneticPr fontId="8" type="noConversion"/>
  </si>
  <si>
    <t>两源互证，已录入 TC-TIMELINE-0026</t>
    <phoneticPr fontId="8" type="noConversion"/>
  </si>
  <si>
    <t>已核证并封版</t>
    <phoneticPr fontId="8" type="noConversion"/>
  </si>
  <si>
    <t>《旧唐书·德宗纪》《唐两京城坊考》卷四</t>
  </si>
  <si>
    <t>完成</t>
  </si>
  <si>
    <t>龙首渠、永安渠明确为开皇三年；清明渠仅定开皇初。作为新都基础供水骨架单列，但不把三渠强定同年。</t>
    <phoneticPr fontId="8" type="noConversion"/>
  </si>
  <si>
    <t>已转正式事件 TC-TIMELINE-0027</t>
    <phoneticPr fontId="8" type="noConversion"/>
  </si>
  <si>
    <t>成立并通过，单列</t>
  </si>
  <si>
    <t>开皇初至三年；龙首渠、永安渠583，清明渠仅定开皇初</t>
  </si>
  <si>
    <t>《唐两京城坊考》卷四三渠专条；考古研究用于年代边界复核</t>
  </si>
  <si>
    <t>形成坊市、皇城、宫城与苑囿的主要供水骨架</t>
  </si>
  <si>
    <t>清明渠稳定实体编号待水渠专题统一</t>
  </si>
  <si>
    <t>是，已录入 TC-TIMELINE-0027</t>
  </si>
  <si>
    <t>TC-TIMELINE-0027</t>
  </si>
  <si>
    <t>开皇初至三年（约582—583年）</t>
  </si>
  <si>
    <t>开凿龙首渠、永安渠并形成都城主要引水系统</t>
  </si>
  <si>
    <t>TC-CHUNK-2247;TC-CHUNK-2248;TC-CHUNK-2249</t>
  </si>
  <si>
    <t>TC-REF-0001</t>
  </si>
  <si>
    <t>三渠年代分层处理；基础设施节点与建城事件并行单列。</t>
  </si>
  <si>
    <t>排除</t>
    <phoneticPr fontId="8" type="noConversion"/>
  </si>
  <si>
    <t>证据不足</t>
    <phoneticPr fontId="8" type="noConversion"/>
  </si>
  <si>
    <t>长期汇聚现象未落实到单一使团、制度或设施节点。</t>
    <phoneticPr fontId="8" type="noConversion"/>
  </si>
  <si>
    <t>不录入</t>
    <phoneticPr fontId="8" type="noConversion"/>
  </si>
  <si>
    <t>仅为商业繁盛概括，缺乏准确年份、制度变化和可审计事件行为。</t>
    <phoneticPr fontId="8" type="noConversion"/>
  </si>
  <si>
    <t>唐隆政变与既有宫城政治事件主题高度重复，未形成独立城市结构变化。</t>
    <phoneticPr fontId="8" type="noConversion"/>
  </si>
  <si>
    <t>已合并</t>
    <phoneticPr fontId="8" type="noConversion"/>
  </si>
  <si>
    <t>大雁塔后续重建属于既有慈恩寺—大雁塔事件的建筑沿革，不再重复单列。</t>
    <phoneticPr fontId="8" type="noConversion"/>
  </si>
  <si>
    <t>并入 TC-TIMELINE-0011 沿革说明</t>
    <phoneticPr fontId="8" type="noConversion"/>
  </si>
  <si>
    <t>僖宗撤离是黄巢占领长安的直接前奏，单列会割裂同一失守过程。</t>
    <phoneticPr fontId="8" type="noConversion"/>
  </si>
  <si>
    <t>并入 TC-TIMELINE-0008 事件说明</t>
    <phoneticPr fontId="8" type="noConversion"/>
  </si>
  <si>
    <t>显庆元年建寺年份明确，且能补充国家寺院类型。</t>
    <phoneticPr fontId="8" type="noConversion"/>
  </si>
  <si>
    <t>已转正式事件 TC-TIMELINE-0028</t>
    <phoneticPr fontId="8" type="noConversion"/>
  </si>
  <si>
    <t>634—635年永安宫始建是662年大明宫扩建并成为政治中心的前史。</t>
    <phoneticPr fontId="8" type="noConversion"/>
  </si>
  <si>
    <t>并入 TC-TIMELINE-0012 说明</t>
    <phoneticPr fontId="8" type="noConversion"/>
  </si>
  <si>
    <t>不能以取消夜禁等概括替代具体法规或事件。</t>
    <phoneticPr fontId="8" type="noConversion"/>
  </si>
  <si>
    <t>证据冲突</t>
    <phoneticPr fontId="8" type="noConversion"/>
  </si>
  <si>
    <t>改称长安的正式年份缺乏一致原始记载，不能把唐朝建立自动等同于城市改名事件。</t>
    <phoneticPr fontId="8" type="noConversion"/>
  </si>
  <si>
    <t>不录入；保留名称沿革专题</t>
    <phoneticPr fontId="8" type="noConversion"/>
  </si>
  <si>
    <t>营建东都属于全国都城格局背景，缺少605年对长安城市空间或居民生活的独立直接影响。</t>
    <phoneticPr fontId="8" type="noConversion"/>
  </si>
  <si>
    <t>两税法为全国制度，未找到足以单列的长安特定实施节点。</t>
    <phoneticPr fontId="8" type="noConversion"/>
  </si>
  <si>
    <t>765年威胁主要发生在京畿，未形成长安再次失守或独立城市状态转折。</t>
    <phoneticPr fontId="8" type="noConversion"/>
  </si>
  <si>
    <t>《旧唐书》直接记吐蕃撤离、收复上都及郭子仪入城后人心安定。</t>
    <phoneticPr fontId="8" type="noConversion"/>
  </si>
  <si>
    <t>已转正式事件 TC-TIMELINE-0029</t>
    <phoneticPr fontId="8" type="noConversion"/>
  </si>
  <si>
    <t>六街街使等治理变化未落实到准确设立或调整文书。</t>
    <phoneticPr fontId="8" type="noConversion"/>
  </si>
  <si>
    <t>不录入；转城市治理专题</t>
    <phoneticPr fontId="8" type="noConversion"/>
  </si>
  <si>
    <t>含光门功能高峰属于主题占位判断，缺少准确年份与事件。</t>
    <phoneticPr fontId="8" type="noConversion"/>
  </si>
  <si>
    <t>TC-TIMELINE-0028</t>
  </si>
  <si>
    <t>TC-TIMELINE-0029</t>
  </si>
  <si>
    <t>656年（显庆元年）</t>
  </si>
  <si>
    <t>763年（广德元年十月）</t>
  </si>
  <si>
    <t>建立西明寺</t>
  </si>
  <si>
    <t>吐蕃撤离后郭子仪入长安恢复秩序</t>
  </si>
  <si>
    <t>TC-CHUNK-2250</t>
  </si>
  <si>
    <t>TC-CHUNK-2251</t>
  </si>
  <si>
    <t>国家寺院节点，补充宗教空间类型。</t>
  </si>
  <si>
    <t>与吐蕃占领构成失守—收复闭环。</t>
  </si>
  <si>
    <t>29条已审核正式事件的阶段与主题映射</t>
    <phoneticPr fontId="8" type="noConversion"/>
  </si>
  <si>
    <t>29条正式事件：历史阶段 × 主题覆盖矩阵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</si>
</sst>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b/>
      <sz val="11"/>
      <color rgb="FF17365D"/>
      <name val="Carlito"/>
    </font>
    <font>
      <b/>
      <sz val="10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17365D"/>
      <name val="Microsoft YaHei"/>
      <family val="2"/>
      <charset val="134"/>
    </font>
    <font>
      <b/>
      <sz val="16"/>
      <color rgb="FFFFFFFF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 style="thin">
        <color rgb="FFB4C6E7"/>
      </right>
      <top/>
      <bottom/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 style="thin">
        <color rgb="FFE2E8F0"/>
      </top>
      <bottom/>
      <diagonal/>
    </border>
  </borders>
  <cellStyleXfs count="2">
    <xf numFmtId="0" fontId="0" fillId="0" borderId="0"/>
    <xf numFmtId="0" fontId="7" fillId="0" borderId="0"/>
  </cellStyleXfs>
  <cellXfs count="30">
    <xf numFmtId="0" fontId="0" fillId="0" borderId="0" xfId="0"/>
    <xf numFmtId="0" fontId="3" fillId="2" borderId="0" xfId="1" applyFont="1" applyFill="1" applyAlignment="1">
      <alignment vertical="center"/>
    </xf>
    <xf numFmtId="0" fontId="4" fillId="0" borderId="0" xfId="1" applyFont="1"/>
    <xf numFmtId="0" fontId="5" fillId="3" borderId="1" xfId="1" applyFont="1" applyFill="1" applyBorder="1" applyAlignment="1">
      <alignment vertical="center" wrapText="1"/>
    </xf>
    <xf numFmtId="0" fontId="5" fillId="3" borderId="2" xfId="1" applyFont="1" applyFill="1" applyBorder="1" applyAlignment="1">
      <alignment vertical="center" wrapText="1"/>
    </xf>
    <xf numFmtId="0" fontId="5" fillId="3" borderId="3" xfId="1" applyFont="1" applyFill="1" applyBorder="1" applyAlignment="1">
      <alignment vertical="center" wrapText="1"/>
    </xf>
    <xf numFmtId="0" fontId="6" fillId="2" borderId="0" xfId="1" applyFont="1" applyFill="1" applyAlignment="1">
      <alignment vertical="center"/>
    </xf>
    <xf numFmtId="0" fontId="4" fillId="0" borderId="0" xfId="1" applyFont="1" applyAlignment="1">
      <alignment wrapText="1"/>
    </xf>
    <xf numFmtId="0" fontId="4" fillId="0" borderId="0" xfId="1" applyFont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4" fillId="0" borderId="5" xfId="1" applyFont="1" applyBorder="1" applyAlignment="1">
      <alignment vertical="top" wrapText="1"/>
    </xf>
    <xf numFmtId="0" fontId="4" fillId="0" borderId="6" xfId="1" applyFont="1" applyBorder="1" applyAlignment="1">
      <alignment vertical="top" wrapText="1"/>
    </xf>
    <xf numFmtId="0" fontId="4" fillId="0" borderId="7" xfId="1" applyFont="1" applyBorder="1" applyAlignment="1">
      <alignment vertical="top" wrapText="1"/>
    </xf>
    <xf numFmtId="0" fontId="4" fillId="0" borderId="8" xfId="1" applyFont="1" applyBorder="1" applyAlignment="1">
      <alignment vertical="top" wrapText="1"/>
    </xf>
    <xf numFmtId="0" fontId="4" fillId="0" borderId="9" xfId="1" applyFont="1" applyBorder="1" applyAlignment="1">
      <alignment vertical="top" wrapText="1"/>
    </xf>
    <xf numFmtId="0" fontId="4" fillId="0" borderId="10" xfId="1" applyFont="1" applyBorder="1" applyAlignment="1">
      <alignment vertical="top" wrapText="1"/>
    </xf>
    <xf numFmtId="0" fontId="4" fillId="0" borderId="11" xfId="1" applyFont="1" applyBorder="1" applyAlignment="1">
      <alignment vertical="top" wrapText="1"/>
    </xf>
    <xf numFmtId="0" fontId="4" fillId="0" borderId="12" xfId="1" applyFont="1" applyBorder="1" applyAlignment="1">
      <alignment vertical="top" wrapText="1"/>
    </xf>
    <xf numFmtId="0" fontId="0" fillId="0" borderId="0" xfId="1" applyFont="1" applyAlignment="1">
      <alignment wrapText="1"/>
    </xf>
    <xf numFmtId="0" fontId="2" fillId="5" borderId="1" xfId="1" applyFont="1" applyFill="1" applyBorder="1" applyAlignment="1">
      <alignment wrapText="1"/>
    </xf>
    <xf numFmtId="0" fontId="2" fillId="5" borderId="3" xfId="1" applyFont="1" applyFill="1" applyBorder="1" applyAlignment="1">
      <alignment wrapText="1"/>
    </xf>
    <xf numFmtId="0" fontId="2" fillId="5" borderId="2" xfId="1" applyFont="1" applyFill="1" applyBorder="1" applyAlignment="1">
      <alignment wrapText="1"/>
    </xf>
    <xf numFmtId="0" fontId="5" fillId="7" borderId="1" xfId="1" applyFont="1" applyFill="1" applyBorder="1" applyAlignment="1">
      <alignment vertical="center" wrapText="1"/>
    </xf>
    <xf numFmtId="0" fontId="5" fillId="7" borderId="3" xfId="1" applyFont="1" applyFill="1" applyBorder="1" applyAlignment="1">
      <alignment vertical="center" wrapText="1"/>
    </xf>
    <xf numFmtId="0" fontId="5" fillId="7" borderId="2" xfId="1" applyFont="1" applyFill="1" applyBorder="1" applyAlignment="1">
      <alignment vertical="center" wrapText="1"/>
    </xf>
    <xf numFmtId="14" fontId="4" fillId="0" borderId="12" xfId="1" applyNumberFormat="1" applyFont="1" applyBorder="1" applyAlignment="1">
      <alignment vertical="top" wrapText="1"/>
    </xf>
    <xf numFmtId="14" fontId="0" fillId="0" borderId="0" xfId="0" applyNumberFormat="1"/>
    <xf numFmtId="0" fontId="6" fillId="2" borderId="0" xfId="1" applyFont="1" applyFill="1" applyAlignment="1">
      <alignment vertical="center"/>
    </xf>
    <xf numFmtId="0" fontId="1" fillId="4" borderId="0" xfId="1" applyFont="1" applyFill="1" applyAlignment="1">
      <alignment vertical="center"/>
    </xf>
    <xf numFmtId="0" fontId="6" fillId="6" borderId="0" xfId="1" applyFont="1" applyFill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3">
    <dxf>
      <font>
        <color rgb="FF92400E"/>
      </font>
      <fill>
        <patternFill>
          <bgColor rgb="FFFEF3C7"/>
        </patternFill>
      </fill>
    </dxf>
    <dxf>
      <font>
        <color rgb="FF92400E"/>
      </font>
      <fill>
        <patternFill>
          <bgColor rgb="FFFEF3C7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showGridLines="0" tabSelected="1" workbookViewId="0">
      <selection sqref="A1:H1"/>
    </sheetView>
  </sheetViews>
  <sheetFormatPr defaultRowHeight="13.8"/>
  <cols>
    <col min="1" max="1" width="18" customWidth="1"/>
    <col min="2" max="2" width="90" customWidth="1"/>
  </cols>
  <sheetData>
    <row r="1" spans="1:12" ht="23.4">
      <c r="A1" s="27" t="s">
        <v>0</v>
      </c>
      <c r="B1" s="27"/>
      <c r="C1" s="27"/>
      <c r="D1" s="27"/>
      <c r="E1" s="27"/>
      <c r="F1" s="27"/>
      <c r="G1" s="27"/>
      <c r="H1" s="27"/>
      <c r="I1" s="1"/>
      <c r="J1" s="1"/>
      <c r="K1" s="1"/>
      <c r="L1" s="1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6">
      <c r="A3" s="3" t="s">
        <v>1</v>
      </c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5">
      <c r="A4" s="7" t="s">
        <v>3</v>
      </c>
      <c r="B4" s="7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>
      <c r="A5" s="7" t="s">
        <v>5</v>
      </c>
      <c r="B5" s="7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5">
      <c r="A6" s="7" t="s">
        <v>7</v>
      </c>
      <c r="B6" s="7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">
      <c r="A7" s="7" t="s">
        <v>9</v>
      </c>
      <c r="B7" s="7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">
      <c r="A8" s="7" t="s">
        <v>11</v>
      </c>
      <c r="B8" s="7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>
      <c r="A9" s="7" t="s">
        <v>13</v>
      </c>
      <c r="B9" s="7" t="s">
        <v>14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">
      <c r="A10" s="7" t="s">
        <v>15</v>
      </c>
      <c r="B10" s="7" t="s">
        <v>16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">
      <c r="A11" s="7"/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.6">
      <c r="A12" s="3" t="s">
        <v>17</v>
      </c>
      <c r="B12" s="5" t="s">
        <v>18</v>
      </c>
      <c r="C12" s="5" t="s">
        <v>19</v>
      </c>
      <c r="D12" s="5" t="s">
        <v>20</v>
      </c>
      <c r="E12" s="5" t="s">
        <v>2</v>
      </c>
      <c r="F12" s="4" t="s">
        <v>21</v>
      </c>
      <c r="G12" s="2"/>
      <c r="H12" s="2"/>
      <c r="I12" s="2"/>
      <c r="J12" s="2"/>
      <c r="K12" s="2"/>
      <c r="L12" s="2"/>
    </row>
    <row r="13" spans="1:12" ht="15">
      <c r="A13" s="7" t="s">
        <v>22</v>
      </c>
      <c r="B13" s="7" t="s">
        <v>23</v>
      </c>
      <c r="C13" s="2" t="s">
        <v>24</v>
      </c>
      <c r="D13" s="2" t="s">
        <v>25</v>
      </c>
      <c r="E13" s="2" t="s">
        <v>26</v>
      </c>
      <c r="F13" s="2"/>
      <c r="G13" s="2"/>
      <c r="H13" s="2"/>
      <c r="I13" s="2"/>
      <c r="J13" s="2"/>
      <c r="K13" s="2"/>
      <c r="L13" s="2"/>
    </row>
    <row r="14" spans="1:12" ht="15">
      <c r="A14" s="7" t="s">
        <v>27</v>
      </c>
      <c r="B14" s="7" t="s">
        <v>28</v>
      </c>
      <c r="C14" s="2" t="s">
        <v>29</v>
      </c>
      <c r="D14" s="2" t="s">
        <v>30</v>
      </c>
      <c r="E14" s="2" t="s">
        <v>31</v>
      </c>
      <c r="F14" s="2"/>
      <c r="G14" s="2"/>
      <c r="H14" s="2"/>
      <c r="I14" s="2"/>
      <c r="J14" s="2"/>
      <c r="K14" s="2"/>
      <c r="L14" s="2"/>
    </row>
    <row r="15" spans="1:12" ht="15">
      <c r="A15" s="7" t="s">
        <v>32</v>
      </c>
      <c r="B15" s="7" t="s">
        <v>33</v>
      </c>
      <c r="C15" s="2" t="s">
        <v>34</v>
      </c>
      <c r="D15" s="2" t="s">
        <v>35</v>
      </c>
      <c r="E15" s="2" t="s">
        <v>36</v>
      </c>
      <c r="F15" s="2"/>
      <c r="G15" s="2"/>
      <c r="H15" s="2"/>
      <c r="I15" s="2"/>
      <c r="J15" s="2"/>
      <c r="K15" s="2"/>
      <c r="L15" s="2"/>
    </row>
    <row r="16" spans="1:12" ht="15">
      <c r="A16" s="7" t="s">
        <v>37</v>
      </c>
      <c r="B16" s="7" t="s">
        <v>33</v>
      </c>
      <c r="C16" s="2" t="s">
        <v>23</v>
      </c>
      <c r="D16" s="2" t="s">
        <v>38</v>
      </c>
      <c r="E16" s="2" t="s">
        <v>39</v>
      </c>
      <c r="F16" s="2"/>
      <c r="G16" s="2"/>
      <c r="H16" s="2"/>
      <c r="I16" s="2"/>
      <c r="J16" s="2"/>
      <c r="K16" s="2"/>
      <c r="L16" s="2"/>
    </row>
    <row r="17" spans="1:12" ht="15">
      <c r="A17" s="7" t="s">
        <v>40</v>
      </c>
      <c r="B17" s="7" t="s">
        <v>41</v>
      </c>
      <c r="C17" s="2" t="s">
        <v>42</v>
      </c>
      <c r="D17" s="2" t="s">
        <v>43</v>
      </c>
      <c r="E17" s="2" t="s">
        <v>44</v>
      </c>
      <c r="F17" s="2" t="s">
        <v>45</v>
      </c>
      <c r="G17" s="2"/>
      <c r="H17" s="2"/>
      <c r="I17" s="2"/>
      <c r="J17" s="2"/>
      <c r="K17" s="2"/>
      <c r="L17" s="2"/>
    </row>
  </sheetData>
  <mergeCells count="1">
    <mergeCell ref="A1:H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showGridLines="0" workbookViewId="0"/>
  </sheetViews>
  <sheetFormatPr defaultRowHeight="13.8"/>
  <cols>
    <col min="1" max="1" width="18" customWidth="1"/>
    <col min="2" max="2" width="15" customWidth="1"/>
    <col min="3" max="3" width="30" customWidth="1"/>
    <col min="4" max="4" width="12" customWidth="1"/>
    <col min="5" max="5" width="22" customWidth="1"/>
    <col min="6" max="6" width="28" customWidth="1"/>
    <col min="7" max="7" width="14" customWidth="1"/>
    <col min="8" max="8" width="10" customWidth="1"/>
    <col min="9" max="9" width="15" customWidth="1"/>
    <col min="10" max="10" width="30" customWidth="1"/>
    <col min="11" max="11" width="36" customWidth="1"/>
    <col min="12" max="12" width="24" customWidth="1"/>
  </cols>
  <sheetData>
    <row r="1" spans="1:12" ht="23.4">
      <c r="A1" s="27" t="s">
        <v>46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2">
      <c r="A3" s="3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54</v>
      </c>
      <c r="I3" s="5" t="s">
        <v>55</v>
      </c>
      <c r="J3" s="5" t="s">
        <v>56</v>
      </c>
      <c r="K3" s="5" t="s">
        <v>57</v>
      </c>
      <c r="L3" s="4" t="s">
        <v>58</v>
      </c>
    </row>
    <row r="4" spans="1:12" ht="15">
      <c r="A4" s="9" t="s">
        <v>59</v>
      </c>
      <c r="B4" s="10" t="s">
        <v>60</v>
      </c>
      <c r="C4" s="10" t="s">
        <v>61</v>
      </c>
      <c r="D4" s="10" t="s">
        <v>62</v>
      </c>
      <c r="E4" s="10" t="s">
        <v>63</v>
      </c>
      <c r="F4" s="10" t="s">
        <v>64</v>
      </c>
      <c r="G4" s="10" t="s">
        <v>65</v>
      </c>
      <c r="H4" s="10" t="s">
        <v>66</v>
      </c>
      <c r="I4" s="10" t="s">
        <v>67</v>
      </c>
      <c r="J4" s="10" t="s">
        <v>68</v>
      </c>
      <c r="K4" s="10" t="s">
        <v>69</v>
      </c>
      <c r="L4" s="11" t="s">
        <v>70</v>
      </c>
    </row>
    <row r="5" spans="1:12" ht="30">
      <c r="A5" s="12" t="s">
        <v>71</v>
      </c>
      <c r="B5" s="13" t="s">
        <v>72</v>
      </c>
      <c r="C5" s="13" t="s">
        <v>73</v>
      </c>
      <c r="D5" s="13" t="s">
        <v>62</v>
      </c>
      <c r="E5" s="13" t="s">
        <v>74</v>
      </c>
      <c r="F5" s="13" t="s">
        <v>75</v>
      </c>
      <c r="G5" s="13" t="s">
        <v>65</v>
      </c>
      <c r="H5" s="13" t="s">
        <v>76</v>
      </c>
      <c r="I5" s="13" t="s">
        <v>67</v>
      </c>
      <c r="J5" s="13" t="s">
        <v>77</v>
      </c>
      <c r="K5" s="13" t="s">
        <v>78</v>
      </c>
      <c r="L5" s="14" t="s">
        <v>79</v>
      </c>
    </row>
    <row r="6" spans="1:12" ht="45">
      <c r="A6" s="12" t="s">
        <v>80</v>
      </c>
      <c r="B6" s="13" t="s">
        <v>81</v>
      </c>
      <c r="C6" s="13" t="s">
        <v>82</v>
      </c>
      <c r="D6" s="13" t="s">
        <v>62</v>
      </c>
      <c r="E6" s="13" t="s">
        <v>83</v>
      </c>
      <c r="F6" s="13" t="s">
        <v>84</v>
      </c>
      <c r="G6" s="13" t="s">
        <v>615</v>
      </c>
      <c r="H6" s="13" t="s">
        <v>76</v>
      </c>
      <c r="I6" s="13" t="s">
        <v>616</v>
      </c>
      <c r="J6" s="13" t="s">
        <v>85</v>
      </c>
      <c r="K6" s="13" t="s">
        <v>634</v>
      </c>
      <c r="L6" s="14" t="s">
        <v>635</v>
      </c>
    </row>
    <row r="7" spans="1:12" ht="30">
      <c r="A7" s="12" t="s">
        <v>86</v>
      </c>
      <c r="B7" s="13" t="s">
        <v>87</v>
      </c>
      <c r="C7" s="13" t="s">
        <v>88</v>
      </c>
      <c r="D7" s="13" t="s">
        <v>89</v>
      </c>
      <c r="E7" s="13" t="s">
        <v>90</v>
      </c>
      <c r="F7" s="13" t="s">
        <v>91</v>
      </c>
      <c r="G7" s="13" t="s">
        <v>648</v>
      </c>
      <c r="H7" s="13" t="s">
        <v>92</v>
      </c>
      <c r="I7" s="13" t="s">
        <v>616</v>
      </c>
      <c r="J7" s="13" t="s">
        <v>93</v>
      </c>
      <c r="K7" s="13" t="s">
        <v>667</v>
      </c>
      <c r="L7" s="14" t="s">
        <v>651</v>
      </c>
    </row>
    <row r="8" spans="1:12" ht="15">
      <c r="A8" s="12" t="s">
        <v>94</v>
      </c>
      <c r="B8" s="13" t="s">
        <v>95</v>
      </c>
      <c r="C8" s="13" t="s">
        <v>96</v>
      </c>
      <c r="D8" s="13" t="s">
        <v>89</v>
      </c>
      <c r="E8" s="13" t="s">
        <v>63</v>
      </c>
      <c r="F8" s="13" t="s">
        <v>97</v>
      </c>
      <c r="G8" s="13" t="s">
        <v>65</v>
      </c>
      <c r="H8" s="13" t="s">
        <v>66</v>
      </c>
      <c r="I8" s="13" t="s">
        <v>67</v>
      </c>
      <c r="J8" s="13" t="s">
        <v>98</v>
      </c>
      <c r="K8" s="13" t="s">
        <v>99</v>
      </c>
      <c r="L8" s="14" t="s">
        <v>70</v>
      </c>
    </row>
    <row r="9" spans="1:12" ht="30">
      <c r="A9" s="12" t="s">
        <v>100</v>
      </c>
      <c r="B9" s="13" t="s">
        <v>101</v>
      </c>
      <c r="C9" s="13" t="s">
        <v>102</v>
      </c>
      <c r="D9" s="13" t="s">
        <v>103</v>
      </c>
      <c r="E9" s="13" t="s">
        <v>90</v>
      </c>
      <c r="F9" s="13" t="s">
        <v>104</v>
      </c>
      <c r="G9" s="13" t="s">
        <v>648</v>
      </c>
      <c r="H9" s="13" t="s">
        <v>76</v>
      </c>
      <c r="I9" s="13" t="s">
        <v>664</v>
      </c>
      <c r="J9" s="13" t="s">
        <v>105</v>
      </c>
      <c r="K9" s="13" t="s">
        <v>665</v>
      </c>
      <c r="L9" s="14" t="s">
        <v>666</v>
      </c>
    </row>
    <row r="10" spans="1:12" ht="15">
      <c r="A10" s="12" t="s">
        <v>106</v>
      </c>
      <c r="B10" s="13" t="s">
        <v>107</v>
      </c>
      <c r="C10" s="13" t="s">
        <v>108</v>
      </c>
      <c r="D10" s="13" t="s">
        <v>103</v>
      </c>
      <c r="E10" s="13" t="s">
        <v>109</v>
      </c>
      <c r="F10" s="13" t="s">
        <v>110</v>
      </c>
      <c r="G10" s="13" t="s">
        <v>65</v>
      </c>
      <c r="H10" s="13" t="s">
        <v>66</v>
      </c>
      <c r="I10" s="13" t="s">
        <v>67</v>
      </c>
      <c r="J10" s="13" t="s">
        <v>98</v>
      </c>
      <c r="K10" s="13" t="s">
        <v>111</v>
      </c>
      <c r="L10" s="14" t="s">
        <v>70</v>
      </c>
    </row>
    <row r="11" spans="1:12" ht="30">
      <c r="A11" s="12" t="s">
        <v>112</v>
      </c>
      <c r="B11" s="13" t="s">
        <v>113</v>
      </c>
      <c r="C11" s="13" t="s">
        <v>114</v>
      </c>
      <c r="D11" s="13" t="s">
        <v>103</v>
      </c>
      <c r="E11" s="13" t="s">
        <v>83</v>
      </c>
      <c r="F11" s="13" t="s">
        <v>115</v>
      </c>
      <c r="G11" s="13" t="s">
        <v>654</v>
      </c>
      <c r="H11" s="13" t="s">
        <v>92</v>
      </c>
      <c r="I11" s="13" t="s">
        <v>616</v>
      </c>
      <c r="J11" s="13" t="s">
        <v>116</v>
      </c>
      <c r="K11" s="13" t="s">
        <v>661</v>
      </c>
      <c r="L11" s="14" t="s">
        <v>662</v>
      </c>
    </row>
    <row r="12" spans="1:12" ht="45">
      <c r="A12" s="12" t="s">
        <v>117</v>
      </c>
      <c r="B12" s="13" t="s">
        <v>118</v>
      </c>
      <c r="C12" s="13" t="s">
        <v>119</v>
      </c>
      <c r="D12" s="13" t="s">
        <v>103</v>
      </c>
      <c r="E12" s="13" t="s">
        <v>83</v>
      </c>
      <c r="F12" s="13" t="s">
        <v>120</v>
      </c>
      <c r="G12" s="13" t="s">
        <v>65</v>
      </c>
      <c r="H12" s="13" t="s">
        <v>76</v>
      </c>
      <c r="I12" s="13" t="s">
        <v>67</v>
      </c>
      <c r="J12" s="13" t="s">
        <v>121</v>
      </c>
      <c r="K12" s="13" t="s">
        <v>122</v>
      </c>
      <c r="L12" s="14" t="s">
        <v>123</v>
      </c>
    </row>
    <row r="13" spans="1:12" ht="30">
      <c r="A13" s="12" t="s">
        <v>124</v>
      </c>
      <c r="B13" s="13" t="s">
        <v>125</v>
      </c>
      <c r="C13" s="13" t="s">
        <v>126</v>
      </c>
      <c r="D13" s="13" t="s">
        <v>103</v>
      </c>
      <c r="E13" s="13" t="s">
        <v>83</v>
      </c>
      <c r="F13" s="13" t="s">
        <v>120</v>
      </c>
      <c r="G13" s="13" t="s">
        <v>615</v>
      </c>
      <c r="H13" s="13" t="s">
        <v>92</v>
      </c>
      <c r="I13" s="13" t="s">
        <v>616</v>
      </c>
      <c r="J13" s="13" t="s">
        <v>127</v>
      </c>
      <c r="K13" s="13" t="s">
        <v>659</v>
      </c>
      <c r="L13" s="14" t="s">
        <v>660</v>
      </c>
    </row>
    <row r="14" spans="1:12" ht="45">
      <c r="A14" s="12" t="s">
        <v>128</v>
      </c>
      <c r="B14" s="13" t="s">
        <v>129</v>
      </c>
      <c r="C14" s="13" t="s">
        <v>130</v>
      </c>
      <c r="D14" s="13" t="s">
        <v>103</v>
      </c>
      <c r="E14" s="13" t="s">
        <v>83</v>
      </c>
      <c r="F14" s="13" t="s">
        <v>131</v>
      </c>
      <c r="G14" s="13" t="s">
        <v>65</v>
      </c>
      <c r="H14" s="13" t="s">
        <v>76</v>
      </c>
      <c r="I14" s="13" t="s">
        <v>67</v>
      </c>
      <c r="J14" s="13" t="s">
        <v>132</v>
      </c>
      <c r="K14" s="13" t="s">
        <v>133</v>
      </c>
      <c r="L14" s="14" t="s">
        <v>134</v>
      </c>
    </row>
    <row r="15" spans="1:12" ht="15">
      <c r="A15" s="12" t="s">
        <v>135</v>
      </c>
      <c r="B15" s="13" t="s">
        <v>136</v>
      </c>
      <c r="C15" s="13" t="s">
        <v>137</v>
      </c>
      <c r="D15" s="13" t="s">
        <v>103</v>
      </c>
      <c r="E15" s="13" t="s">
        <v>90</v>
      </c>
      <c r="F15" s="13" t="s">
        <v>91</v>
      </c>
      <c r="G15" s="13" t="s">
        <v>65</v>
      </c>
      <c r="H15" s="13" t="s">
        <v>66</v>
      </c>
      <c r="I15" s="13" t="s">
        <v>67</v>
      </c>
      <c r="J15" s="13" t="s">
        <v>98</v>
      </c>
      <c r="K15" s="13" t="s">
        <v>138</v>
      </c>
      <c r="L15" s="14" t="s">
        <v>70</v>
      </c>
    </row>
    <row r="16" spans="1:12" ht="30">
      <c r="A16" s="12" t="s">
        <v>139</v>
      </c>
      <c r="B16" s="13" t="s">
        <v>140</v>
      </c>
      <c r="C16" s="13" t="s">
        <v>141</v>
      </c>
      <c r="D16" s="13" t="s">
        <v>103</v>
      </c>
      <c r="E16" s="13" t="s">
        <v>83</v>
      </c>
      <c r="F16" s="13" t="s">
        <v>142</v>
      </c>
      <c r="G16" s="13" t="s">
        <v>654</v>
      </c>
      <c r="H16" s="13" t="s">
        <v>92</v>
      </c>
      <c r="I16" s="13" t="s">
        <v>616</v>
      </c>
      <c r="J16" s="13" t="s">
        <v>143</v>
      </c>
      <c r="K16" s="13" t="s">
        <v>655</v>
      </c>
      <c r="L16" s="14" t="s">
        <v>656</v>
      </c>
    </row>
    <row r="17" spans="1:12" ht="30">
      <c r="A17" s="12" t="s">
        <v>144</v>
      </c>
      <c r="B17" s="13" t="s">
        <v>145</v>
      </c>
      <c r="C17" s="13" t="s">
        <v>146</v>
      </c>
      <c r="D17" s="13" t="s">
        <v>103</v>
      </c>
      <c r="E17" s="13" t="s">
        <v>90</v>
      </c>
      <c r="F17" s="13" t="s">
        <v>91</v>
      </c>
      <c r="G17" s="13" t="s">
        <v>65</v>
      </c>
      <c r="H17" s="13" t="s">
        <v>76</v>
      </c>
      <c r="I17" s="13" t="s">
        <v>67</v>
      </c>
      <c r="J17" s="13" t="s">
        <v>147</v>
      </c>
      <c r="K17" s="13" t="s">
        <v>148</v>
      </c>
      <c r="L17" s="14" t="s">
        <v>149</v>
      </c>
    </row>
    <row r="18" spans="1:12" ht="30">
      <c r="A18" s="12" t="s">
        <v>150</v>
      </c>
      <c r="B18" s="13" t="s">
        <v>151</v>
      </c>
      <c r="C18" s="13" t="s">
        <v>152</v>
      </c>
      <c r="D18" s="13" t="s">
        <v>103</v>
      </c>
      <c r="E18" s="13" t="s">
        <v>109</v>
      </c>
      <c r="F18" s="13" t="s">
        <v>110</v>
      </c>
      <c r="G18" s="13" t="s">
        <v>648</v>
      </c>
      <c r="H18" s="13" t="s">
        <v>153</v>
      </c>
      <c r="I18" s="13" t="s">
        <v>616</v>
      </c>
      <c r="J18" s="13" t="s">
        <v>147</v>
      </c>
      <c r="K18" s="13" t="s">
        <v>653</v>
      </c>
      <c r="L18" s="14" t="s">
        <v>651</v>
      </c>
    </row>
    <row r="19" spans="1:12" ht="45">
      <c r="A19" s="12" t="s">
        <v>154</v>
      </c>
      <c r="B19" s="13" t="s">
        <v>155</v>
      </c>
      <c r="C19" s="13" t="s">
        <v>156</v>
      </c>
      <c r="D19" s="13" t="s">
        <v>157</v>
      </c>
      <c r="E19" s="13" t="s">
        <v>83</v>
      </c>
      <c r="F19" s="13" t="s">
        <v>158</v>
      </c>
      <c r="G19" s="13" t="s">
        <v>65</v>
      </c>
      <c r="H19" s="13" t="s">
        <v>76</v>
      </c>
      <c r="I19" s="13" t="s">
        <v>67</v>
      </c>
      <c r="J19" s="13" t="s">
        <v>159</v>
      </c>
      <c r="K19" s="13" t="s">
        <v>160</v>
      </c>
      <c r="L19" s="14" t="s">
        <v>161</v>
      </c>
    </row>
    <row r="20" spans="1:12" ht="45">
      <c r="A20" s="12" t="s">
        <v>162</v>
      </c>
      <c r="B20" s="13" t="s">
        <v>163</v>
      </c>
      <c r="C20" s="13" t="s">
        <v>164</v>
      </c>
      <c r="D20" s="13" t="s">
        <v>157</v>
      </c>
      <c r="E20" s="13" t="s">
        <v>83</v>
      </c>
      <c r="F20" s="13" t="s">
        <v>131</v>
      </c>
      <c r="G20" s="13" t="s">
        <v>65</v>
      </c>
      <c r="H20" s="13" t="s">
        <v>76</v>
      </c>
      <c r="I20" s="13" t="s">
        <v>67</v>
      </c>
      <c r="J20" s="13" t="s">
        <v>165</v>
      </c>
      <c r="K20" s="13" t="s">
        <v>166</v>
      </c>
      <c r="L20" s="14" t="s">
        <v>161</v>
      </c>
    </row>
    <row r="21" spans="1:12" ht="30">
      <c r="A21" s="12" t="s">
        <v>167</v>
      </c>
      <c r="B21" s="13" t="s">
        <v>168</v>
      </c>
      <c r="C21" s="13" t="s">
        <v>169</v>
      </c>
      <c r="D21" s="13" t="s">
        <v>157</v>
      </c>
      <c r="E21" s="13" t="s">
        <v>170</v>
      </c>
      <c r="F21" s="13" t="s">
        <v>171</v>
      </c>
      <c r="G21" s="13" t="s">
        <v>648</v>
      </c>
      <c r="H21" s="13" t="s">
        <v>92</v>
      </c>
      <c r="I21" s="13" t="s">
        <v>649</v>
      </c>
      <c r="J21" s="13" t="s">
        <v>172</v>
      </c>
      <c r="K21" s="13" t="s">
        <v>652</v>
      </c>
      <c r="L21" s="14" t="s">
        <v>651</v>
      </c>
    </row>
    <row r="22" spans="1:12" ht="30">
      <c r="A22" s="12" t="s">
        <v>173</v>
      </c>
      <c r="B22" s="13" t="s">
        <v>174</v>
      </c>
      <c r="C22" s="13" t="s">
        <v>175</v>
      </c>
      <c r="D22" s="13" t="s">
        <v>157</v>
      </c>
      <c r="E22" s="13" t="s">
        <v>74</v>
      </c>
      <c r="F22" s="13" t="s">
        <v>176</v>
      </c>
      <c r="G22" s="13" t="s">
        <v>648</v>
      </c>
      <c r="H22" s="13" t="s">
        <v>92</v>
      </c>
      <c r="I22" s="13" t="s">
        <v>649</v>
      </c>
      <c r="J22" s="13" t="s">
        <v>177</v>
      </c>
      <c r="K22" s="13" t="s">
        <v>650</v>
      </c>
      <c r="L22" s="14" t="s">
        <v>651</v>
      </c>
    </row>
    <row r="23" spans="1:12" ht="30">
      <c r="A23" s="12" t="s">
        <v>178</v>
      </c>
      <c r="B23" s="13" t="s">
        <v>179</v>
      </c>
      <c r="C23" s="13" t="s">
        <v>180</v>
      </c>
      <c r="D23" s="13" t="s">
        <v>157</v>
      </c>
      <c r="E23" s="13" t="s">
        <v>74</v>
      </c>
      <c r="F23" s="13" t="s">
        <v>181</v>
      </c>
      <c r="G23" s="13" t="s">
        <v>648</v>
      </c>
      <c r="H23" s="13" t="s">
        <v>153</v>
      </c>
      <c r="I23" s="13" t="s">
        <v>649</v>
      </c>
      <c r="J23" s="13" t="s">
        <v>182</v>
      </c>
      <c r="K23" s="13" t="s">
        <v>674</v>
      </c>
      <c r="L23" s="14" t="s">
        <v>651</v>
      </c>
    </row>
    <row r="24" spans="1:12" ht="15">
      <c r="A24" s="12" t="s">
        <v>183</v>
      </c>
      <c r="B24" s="13" t="s">
        <v>184</v>
      </c>
      <c r="C24" s="13" t="s">
        <v>185</v>
      </c>
      <c r="D24" s="13" t="s">
        <v>186</v>
      </c>
      <c r="E24" s="13" t="s">
        <v>187</v>
      </c>
      <c r="F24" s="13" t="s">
        <v>188</v>
      </c>
      <c r="G24" s="13" t="s">
        <v>65</v>
      </c>
      <c r="H24" s="13" t="s">
        <v>66</v>
      </c>
      <c r="I24" s="13" t="s">
        <v>67</v>
      </c>
      <c r="J24" s="13" t="s">
        <v>147</v>
      </c>
      <c r="K24" s="13" t="s">
        <v>189</v>
      </c>
      <c r="L24" s="14" t="s">
        <v>70</v>
      </c>
    </row>
    <row r="25" spans="1:12" ht="30">
      <c r="A25" s="12" t="s">
        <v>190</v>
      </c>
      <c r="B25" s="13" t="s">
        <v>191</v>
      </c>
      <c r="C25" s="13" t="s">
        <v>192</v>
      </c>
      <c r="D25" s="13" t="s">
        <v>186</v>
      </c>
      <c r="E25" s="13" t="s">
        <v>187</v>
      </c>
      <c r="F25" s="13" t="s">
        <v>193</v>
      </c>
      <c r="G25" s="13" t="s">
        <v>65</v>
      </c>
      <c r="H25" s="13" t="s">
        <v>76</v>
      </c>
      <c r="I25" s="13" t="s">
        <v>67</v>
      </c>
      <c r="J25" s="13" t="s">
        <v>147</v>
      </c>
      <c r="K25" s="13" t="s">
        <v>194</v>
      </c>
      <c r="L25" s="14" t="s">
        <v>195</v>
      </c>
    </row>
    <row r="26" spans="1:12" ht="15">
      <c r="A26" s="12" t="s">
        <v>196</v>
      </c>
      <c r="B26" s="13" t="s">
        <v>197</v>
      </c>
      <c r="C26" s="13" t="s">
        <v>198</v>
      </c>
      <c r="D26" s="13" t="s">
        <v>186</v>
      </c>
      <c r="E26" s="13" t="s">
        <v>187</v>
      </c>
      <c r="F26" s="13" t="s">
        <v>199</v>
      </c>
      <c r="G26" s="13" t="s">
        <v>65</v>
      </c>
      <c r="H26" s="13" t="s">
        <v>66</v>
      </c>
      <c r="I26" s="13" t="s">
        <v>67</v>
      </c>
      <c r="J26" s="13" t="s">
        <v>147</v>
      </c>
      <c r="K26" s="13" t="s">
        <v>200</v>
      </c>
      <c r="L26" s="14" t="s">
        <v>70</v>
      </c>
    </row>
    <row r="27" spans="1:12" ht="30">
      <c r="A27" s="12" t="s">
        <v>201</v>
      </c>
      <c r="B27" s="13" t="s">
        <v>197</v>
      </c>
      <c r="C27" s="13" t="s">
        <v>202</v>
      </c>
      <c r="D27" s="13" t="s">
        <v>186</v>
      </c>
      <c r="E27" s="13" t="s">
        <v>187</v>
      </c>
      <c r="F27" s="13" t="s">
        <v>203</v>
      </c>
      <c r="G27" s="13" t="s">
        <v>615</v>
      </c>
      <c r="H27" s="13" t="s">
        <v>92</v>
      </c>
      <c r="I27" s="13" t="s">
        <v>616</v>
      </c>
      <c r="J27" s="13" t="s">
        <v>147</v>
      </c>
      <c r="K27" s="13" t="s">
        <v>670</v>
      </c>
      <c r="L27" s="14" t="s">
        <v>671</v>
      </c>
    </row>
    <row r="28" spans="1:12" ht="30">
      <c r="A28" s="12" t="s">
        <v>204</v>
      </c>
      <c r="B28" s="13" t="s">
        <v>205</v>
      </c>
      <c r="C28" s="13" t="s">
        <v>206</v>
      </c>
      <c r="D28" s="13" t="s">
        <v>186</v>
      </c>
      <c r="E28" s="13" t="s">
        <v>187</v>
      </c>
      <c r="F28" s="13" t="s">
        <v>207</v>
      </c>
      <c r="G28" s="13" t="s">
        <v>648</v>
      </c>
      <c r="H28" s="13" t="s">
        <v>92</v>
      </c>
      <c r="I28" s="13" t="s">
        <v>616</v>
      </c>
      <c r="J28" s="13" t="s">
        <v>147</v>
      </c>
      <c r="K28" s="13" t="s">
        <v>669</v>
      </c>
      <c r="L28" s="14" t="s">
        <v>651</v>
      </c>
    </row>
    <row r="29" spans="1:12" ht="30">
      <c r="A29" s="12" t="s">
        <v>208</v>
      </c>
      <c r="B29" s="13" t="s">
        <v>209</v>
      </c>
      <c r="C29" s="13" t="s">
        <v>210</v>
      </c>
      <c r="D29" s="13" t="s">
        <v>211</v>
      </c>
      <c r="E29" s="13" t="s">
        <v>170</v>
      </c>
      <c r="F29" s="13" t="s">
        <v>171</v>
      </c>
      <c r="G29" s="13" t="s">
        <v>648</v>
      </c>
      <c r="H29" s="13" t="s">
        <v>153</v>
      </c>
      <c r="I29" s="13" t="s">
        <v>616</v>
      </c>
      <c r="J29" s="13" t="s">
        <v>212</v>
      </c>
      <c r="K29" s="13" t="s">
        <v>668</v>
      </c>
      <c r="L29" s="14" t="s">
        <v>651</v>
      </c>
    </row>
    <row r="30" spans="1:12" ht="15">
      <c r="A30" s="12" t="s">
        <v>213</v>
      </c>
      <c r="B30" s="13" t="s">
        <v>214</v>
      </c>
      <c r="C30" s="13" t="s">
        <v>215</v>
      </c>
      <c r="D30" s="13" t="s">
        <v>211</v>
      </c>
      <c r="E30" s="13" t="s">
        <v>187</v>
      </c>
      <c r="F30" s="13" t="s">
        <v>193</v>
      </c>
      <c r="G30" s="13" t="s">
        <v>65</v>
      </c>
      <c r="H30" s="13" t="s">
        <v>66</v>
      </c>
      <c r="I30" s="13" t="s">
        <v>67</v>
      </c>
      <c r="J30" s="13" t="s">
        <v>147</v>
      </c>
      <c r="K30" s="13" t="s">
        <v>216</v>
      </c>
      <c r="L30" s="14" t="s">
        <v>70</v>
      </c>
    </row>
    <row r="31" spans="1:12" ht="30">
      <c r="A31" s="12" t="s">
        <v>217</v>
      </c>
      <c r="B31" s="13" t="s">
        <v>218</v>
      </c>
      <c r="C31" s="13" t="s">
        <v>219</v>
      </c>
      <c r="D31" s="13" t="s">
        <v>211</v>
      </c>
      <c r="E31" s="13" t="s">
        <v>187</v>
      </c>
      <c r="F31" s="13" t="s">
        <v>193</v>
      </c>
      <c r="G31" s="13" t="s">
        <v>65</v>
      </c>
      <c r="H31" s="13" t="s">
        <v>76</v>
      </c>
      <c r="I31" s="13" t="s">
        <v>67</v>
      </c>
      <c r="J31" s="13" t="s">
        <v>147</v>
      </c>
      <c r="K31" s="13" t="s">
        <v>220</v>
      </c>
      <c r="L31" s="14" t="s">
        <v>221</v>
      </c>
    </row>
    <row r="32" spans="1:12" ht="30">
      <c r="A32" s="12" t="s">
        <v>222</v>
      </c>
      <c r="B32" s="13" t="s">
        <v>223</v>
      </c>
      <c r="C32" s="13" t="s">
        <v>224</v>
      </c>
      <c r="D32" s="13" t="s">
        <v>211</v>
      </c>
      <c r="E32" s="13" t="s">
        <v>170</v>
      </c>
      <c r="F32" s="13" t="s">
        <v>181</v>
      </c>
      <c r="G32" s="13" t="s">
        <v>648</v>
      </c>
      <c r="H32" s="13" t="s">
        <v>92</v>
      </c>
      <c r="I32" s="13" t="s">
        <v>649</v>
      </c>
      <c r="J32" s="13" t="s">
        <v>225</v>
      </c>
      <c r="K32" s="13" t="s">
        <v>672</v>
      </c>
      <c r="L32" s="14" t="s">
        <v>673</v>
      </c>
    </row>
    <row r="33" spans="1:12" ht="15">
      <c r="A33" s="12" t="s">
        <v>226</v>
      </c>
      <c r="B33" s="13" t="s">
        <v>227</v>
      </c>
      <c r="C33" s="13" t="s">
        <v>228</v>
      </c>
      <c r="D33" s="13" t="s">
        <v>211</v>
      </c>
      <c r="E33" s="13" t="s">
        <v>170</v>
      </c>
      <c r="F33" s="13" t="s">
        <v>171</v>
      </c>
      <c r="G33" s="13" t="s">
        <v>648</v>
      </c>
      <c r="H33" s="13" t="s">
        <v>92</v>
      </c>
      <c r="I33" s="13" t="s">
        <v>649</v>
      </c>
      <c r="J33" s="13" t="s">
        <v>229</v>
      </c>
      <c r="K33" s="13" t="s">
        <v>663</v>
      </c>
      <c r="L33" s="14" t="s">
        <v>651</v>
      </c>
    </row>
    <row r="34" spans="1:12" ht="30">
      <c r="A34" s="12" t="s">
        <v>230</v>
      </c>
      <c r="B34" s="13" t="s">
        <v>231</v>
      </c>
      <c r="C34" s="13" t="s">
        <v>232</v>
      </c>
      <c r="D34" s="13" t="s">
        <v>211</v>
      </c>
      <c r="E34" s="13" t="s">
        <v>109</v>
      </c>
      <c r="F34" s="13" t="s">
        <v>233</v>
      </c>
      <c r="G34" s="13" t="s">
        <v>65</v>
      </c>
      <c r="H34" s="13" t="s">
        <v>76</v>
      </c>
      <c r="I34" s="13" t="s">
        <v>67</v>
      </c>
      <c r="J34" s="13" t="s">
        <v>147</v>
      </c>
      <c r="K34" s="13" t="s">
        <v>234</v>
      </c>
      <c r="L34" s="14" t="s">
        <v>235</v>
      </c>
    </row>
    <row r="35" spans="1:12" ht="45">
      <c r="A35" s="12" t="s">
        <v>236</v>
      </c>
      <c r="B35" s="13" t="s">
        <v>237</v>
      </c>
      <c r="C35" s="13" t="s">
        <v>238</v>
      </c>
      <c r="D35" s="13" t="s">
        <v>239</v>
      </c>
      <c r="E35" s="13" t="s">
        <v>170</v>
      </c>
      <c r="F35" s="13" t="s">
        <v>240</v>
      </c>
      <c r="G35" s="13" t="s">
        <v>65</v>
      </c>
      <c r="H35" s="13" t="s">
        <v>76</v>
      </c>
      <c r="I35" s="13" t="s">
        <v>67</v>
      </c>
      <c r="J35" s="13" t="s">
        <v>241</v>
      </c>
      <c r="K35" s="13" t="s">
        <v>242</v>
      </c>
      <c r="L35" s="14" t="s">
        <v>243</v>
      </c>
    </row>
    <row r="36" spans="1:12" ht="60">
      <c r="A36" s="12" t="s">
        <v>244</v>
      </c>
      <c r="B36" s="13" t="s">
        <v>245</v>
      </c>
      <c r="C36" s="13" t="s">
        <v>246</v>
      </c>
      <c r="D36" s="13" t="s">
        <v>211</v>
      </c>
      <c r="E36" s="13" t="s">
        <v>83</v>
      </c>
      <c r="F36" s="13" t="s">
        <v>247</v>
      </c>
      <c r="G36" s="13" t="s">
        <v>615</v>
      </c>
      <c r="H36" s="13" t="s">
        <v>610</v>
      </c>
      <c r="I36" s="13" t="s">
        <v>616</v>
      </c>
      <c r="J36" s="13" t="s">
        <v>248</v>
      </c>
      <c r="K36" s="13" t="s">
        <v>609</v>
      </c>
      <c r="L36" s="14" t="s">
        <v>617</v>
      </c>
    </row>
    <row r="37" spans="1:12" ht="30">
      <c r="A37" s="12" t="s">
        <v>249</v>
      </c>
      <c r="B37" s="13" t="s">
        <v>250</v>
      </c>
      <c r="C37" s="13" t="s">
        <v>251</v>
      </c>
      <c r="D37" s="13" t="s">
        <v>239</v>
      </c>
      <c r="E37" s="13" t="s">
        <v>252</v>
      </c>
      <c r="F37" s="13" t="s">
        <v>253</v>
      </c>
      <c r="G37" s="13" t="s">
        <v>254</v>
      </c>
      <c r="H37" s="13" t="s">
        <v>76</v>
      </c>
      <c r="I37" s="13" t="s">
        <v>255</v>
      </c>
      <c r="J37" s="13" t="s">
        <v>256</v>
      </c>
      <c r="K37" s="13" t="s">
        <v>257</v>
      </c>
      <c r="L37" s="14" t="s">
        <v>258</v>
      </c>
    </row>
    <row r="38" spans="1:12" ht="30">
      <c r="A38" s="12" t="s">
        <v>259</v>
      </c>
      <c r="B38" s="13" t="s">
        <v>260</v>
      </c>
      <c r="C38" s="13" t="s">
        <v>261</v>
      </c>
      <c r="D38" s="13" t="s">
        <v>262</v>
      </c>
      <c r="E38" s="13" t="s">
        <v>187</v>
      </c>
      <c r="F38" s="13" t="s">
        <v>263</v>
      </c>
      <c r="G38" s="13" t="s">
        <v>654</v>
      </c>
      <c r="H38" s="13" t="s">
        <v>76</v>
      </c>
      <c r="I38" s="13" t="s">
        <v>616</v>
      </c>
      <c r="J38" s="13" t="s">
        <v>147</v>
      </c>
      <c r="K38" s="13" t="s">
        <v>657</v>
      </c>
      <c r="L38" s="14" t="s">
        <v>658</v>
      </c>
    </row>
    <row r="39" spans="1:12" ht="15">
      <c r="A39" s="12" t="s">
        <v>264</v>
      </c>
      <c r="B39" s="13" t="s">
        <v>265</v>
      </c>
      <c r="C39" s="13" t="s">
        <v>266</v>
      </c>
      <c r="D39" s="13" t="s">
        <v>262</v>
      </c>
      <c r="E39" s="13" t="s">
        <v>187</v>
      </c>
      <c r="F39" s="13" t="s">
        <v>188</v>
      </c>
      <c r="G39" s="13" t="s">
        <v>65</v>
      </c>
      <c r="H39" s="13" t="s">
        <v>66</v>
      </c>
      <c r="I39" s="13" t="s">
        <v>67</v>
      </c>
      <c r="J39" s="13" t="s">
        <v>147</v>
      </c>
      <c r="K39" s="13" t="s">
        <v>267</v>
      </c>
      <c r="L39" s="14" t="s">
        <v>70</v>
      </c>
    </row>
    <row r="40" spans="1:12" ht="30">
      <c r="A40" s="12" t="s">
        <v>268</v>
      </c>
      <c r="B40" s="13" t="s">
        <v>269</v>
      </c>
      <c r="C40" s="13" t="s">
        <v>270</v>
      </c>
      <c r="D40" s="13" t="s">
        <v>262</v>
      </c>
      <c r="E40" s="13" t="s">
        <v>187</v>
      </c>
      <c r="F40" s="13" t="s">
        <v>271</v>
      </c>
      <c r="G40" s="13" t="s">
        <v>65</v>
      </c>
      <c r="H40" s="13" t="s">
        <v>76</v>
      </c>
      <c r="I40" s="13" t="s">
        <v>67</v>
      </c>
      <c r="J40" s="13" t="s">
        <v>147</v>
      </c>
      <c r="K40" s="13" t="s">
        <v>272</v>
      </c>
      <c r="L40" s="14" t="s">
        <v>273</v>
      </c>
    </row>
    <row r="41" spans="1:12" ht="30">
      <c r="A41" s="12" t="s">
        <v>274</v>
      </c>
      <c r="B41" s="13" t="s">
        <v>275</v>
      </c>
      <c r="C41" s="13" t="s">
        <v>276</v>
      </c>
      <c r="D41" s="13" t="s">
        <v>262</v>
      </c>
      <c r="E41" s="13" t="s">
        <v>187</v>
      </c>
      <c r="F41" s="13" t="s">
        <v>263</v>
      </c>
      <c r="G41" s="13" t="s">
        <v>65</v>
      </c>
      <c r="H41" s="13" t="s">
        <v>76</v>
      </c>
      <c r="I41" s="13" t="s">
        <v>67</v>
      </c>
      <c r="J41" s="13" t="s">
        <v>147</v>
      </c>
      <c r="K41" s="13" t="s">
        <v>277</v>
      </c>
      <c r="L41" s="14" t="s">
        <v>278</v>
      </c>
    </row>
    <row r="42" spans="1:12" ht="30">
      <c r="A42" s="12" t="s">
        <v>279</v>
      </c>
      <c r="B42" s="13" t="s">
        <v>280</v>
      </c>
      <c r="C42" s="13" t="s">
        <v>281</v>
      </c>
      <c r="D42" s="13" t="s">
        <v>262</v>
      </c>
      <c r="E42" s="13" t="s">
        <v>187</v>
      </c>
      <c r="F42" s="13" t="s">
        <v>193</v>
      </c>
      <c r="G42" s="13" t="s">
        <v>65</v>
      </c>
      <c r="H42" s="13" t="s">
        <v>92</v>
      </c>
      <c r="I42" s="13" t="s">
        <v>67</v>
      </c>
      <c r="J42" s="13" t="s">
        <v>147</v>
      </c>
      <c r="K42" s="13" t="s">
        <v>282</v>
      </c>
      <c r="L42" s="14" t="s">
        <v>283</v>
      </c>
    </row>
    <row r="43" spans="1:12" ht="30">
      <c r="A43" s="12" t="s">
        <v>284</v>
      </c>
      <c r="B43" s="13" t="s">
        <v>285</v>
      </c>
      <c r="C43" s="13" t="s">
        <v>286</v>
      </c>
      <c r="D43" s="13" t="s">
        <v>262</v>
      </c>
      <c r="E43" s="13" t="s">
        <v>90</v>
      </c>
      <c r="F43" s="13" t="s">
        <v>193</v>
      </c>
      <c r="G43" s="13" t="s">
        <v>65</v>
      </c>
      <c r="H43" s="13" t="s">
        <v>76</v>
      </c>
      <c r="I43" s="13" t="s">
        <v>67</v>
      </c>
      <c r="J43" s="13" t="s">
        <v>147</v>
      </c>
      <c r="K43" s="13" t="s">
        <v>287</v>
      </c>
      <c r="L43" s="14" t="s">
        <v>288</v>
      </c>
    </row>
    <row r="44" spans="1:12" ht="15">
      <c r="A44" s="12" t="s">
        <v>289</v>
      </c>
      <c r="B44" s="13" t="s">
        <v>290</v>
      </c>
      <c r="C44" s="13" t="s">
        <v>291</v>
      </c>
      <c r="D44" s="13" t="s">
        <v>262</v>
      </c>
      <c r="E44" s="13" t="s">
        <v>90</v>
      </c>
      <c r="F44" s="13" t="s">
        <v>292</v>
      </c>
      <c r="G44" s="13" t="s">
        <v>65</v>
      </c>
      <c r="H44" s="13" t="s">
        <v>66</v>
      </c>
      <c r="I44" s="13" t="s">
        <v>67</v>
      </c>
      <c r="J44" s="13" t="s">
        <v>293</v>
      </c>
      <c r="K44" s="13" t="s">
        <v>294</v>
      </c>
      <c r="L44" s="14" t="s">
        <v>70</v>
      </c>
    </row>
    <row r="45" spans="1:12" ht="15">
      <c r="A45" s="15" t="s">
        <v>295</v>
      </c>
      <c r="B45" s="16" t="s">
        <v>296</v>
      </c>
      <c r="C45" s="16" t="s">
        <v>297</v>
      </c>
      <c r="D45" s="16" t="s">
        <v>262</v>
      </c>
      <c r="E45" s="16" t="s">
        <v>109</v>
      </c>
      <c r="F45" s="16" t="s">
        <v>298</v>
      </c>
      <c r="G45" s="16" t="s">
        <v>65</v>
      </c>
      <c r="H45" s="16" t="s">
        <v>66</v>
      </c>
      <c r="I45" s="16" t="s">
        <v>67</v>
      </c>
      <c r="J45" s="16" t="s">
        <v>147</v>
      </c>
      <c r="K45" s="16" t="s">
        <v>299</v>
      </c>
      <c r="L45" s="17" t="s">
        <v>70</v>
      </c>
    </row>
  </sheetData>
  <mergeCells count="1">
    <mergeCell ref="A1:L1"/>
  </mergeCells>
  <phoneticPr fontId="8" type="noConversion"/>
  <conditionalFormatting sqref="G4:G45">
    <cfRule type="containsText" dxfId="2" priority="1" operator="containsText" text="已收录"/>
  </conditionalFormatting>
  <conditionalFormatting sqref="I4:I45">
    <cfRule type="containsText" dxfId="1" priority="2" operator="containsText" text="待"/>
  </conditionalFormatting>
  <dataValidations count="5">
    <dataValidation type="list" sqref="D4:D45" xr:uid="{00000000-0002-0000-0100-000000000000}">
      <formula1>"S1,S2,S3,S4,S5,S6,S7,S8"</formula1>
    </dataValidation>
    <dataValidation type="list" sqref="E4:E45" xr:uid="{00000000-0002-0000-0100-000001000000}">
      <formula1>"CITY_FOUNDING,URBAN_CONSTRUCTION,POLITICAL_CHANGE,WAR,DISASTER,TRANSPORT,SOCIAL_POLICY,CAPITAL_STATUS"</formula1>
    </dataValidation>
    <dataValidation type="list" sqref="G4:G45" xr:uid="{00000000-0002-0000-0100-000002000000}">
      <formula1>"已收录,核心候选,补充候选,背景候选,排除"</formula1>
    </dataValidation>
    <dataValidation type="list" sqref="H4:H45" xr:uid="{00000000-0002-0000-0100-000003000000}">
      <formula1>"高,中,低"</formula1>
    </dataValidation>
    <dataValidation type="list" sqref="I4:I45" xr:uid="{00000000-0002-0000-0100-000004000000}">
      <formula1>"已核验,已初核,待核年,待专题核证,证据不足"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showGridLines="0" workbookViewId="0"/>
  </sheetViews>
  <sheetFormatPr defaultRowHeight="13.8"/>
  <cols>
    <col min="1" max="1" width="28" customWidth="1"/>
    <col min="2" max="12" width="14" customWidth="1"/>
  </cols>
  <sheetData>
    <row r="1" spans="1:12" ht="23.4">
      <c r="A1" s="27" t="s">
        <v>300</v>
      </c>
      <c r="B1" s="27"/>
      <c r="C1" s="27"/>
      <c r="D1" s="27"/>
      <c r="E1" s="27"/>
      <c r="F1" s="27"/>
      <c r="G1" s="27"/>
      <c r="H1" s="27"/>
      <c r="I1" s="27"/>
      <c r="J1" s="27"/>
      <c r="K1" s="6"/>
      <c r="L1" s="6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2">
      <c r="A3" s="3" t="s">
        <v>301</v>
      </c>
      <c r="B3" s="5" t="s">
        <v>302</v>
      </c>
      <c r="C3" s="5" t="s">
        <v>303</v>
      </c>
      <c r="D3" s="5" t="s">
        <v>304</v>
      </c>
      <c r="E3" s="5" t="s">
        <v>305</v>
      </c>
      <c r="F3" s="5" t="s">
        <v>306</v>
      </c>
      <c r="G3" s="5" t="s">
        <v>307</v>
      </c>
      <c r="H3" s="5" t="s">
        <v>308</v>
      </c>
      <c r="I3" s="5" t="s">
        <v>309</v>
      </c>
      <c r="J3" s="5" t="s">
        <v>310</v>
      </c>
      <c r="K3" s="5" t="s">
        <v>311</v>
      </c>
      <c r="L3" s="4" t="s">
        <v>312</v>
      </c>
    </row>
    <row r="4" spans="1:12" ht="15">
      <c r="A4" s="7" t="s">
        <v>313</v>
      </c>
      <c r="B4" s="7">
        <v>1</v>
      </c>
      <c r="C4" s="7">
        <v>2</v>
      </c>
      <c r="D4" s="7">
        <v>1</v>
      </c>
      <c r="E4" s="7">
        <v>2</v>
      </c>
      <c r="F4" s="7">
        <v>3</v>
      </c>
      <c r="G4" s="7">
        <v>2</v>
      </c>
      <c r="H4" s="7">
        <v>0</v>
      </c>
      <c r="I4" s="7">
        <v>2</v>
      </c>
      <c r="J4" s="7">
        <v>0</v>
      </c>
      <c r="K4" s="7">
        <v>0</v>
      </c>
      <c r="L4" s="7">
        <v>13</v>
      </c>
    </row>
    <row r="5" spans="1:12" ht="15">
      <c r="A5" s="7" t="s">
        <v>314</v>
      </c>
      <c r="B5" s="7">
        <v>2</v>
      </c>
      <c r="C5" s="7">
        <v>0</v>
      </c>
      <c r="D5" s="7">
        <v>2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1</v>
      </c>
      <c r="K5" s="7">
        <v>0</v>
      </c>
      <c r="L5" s="7">
        <v>5</v>
      </c>
    </row>
    <row r="6" spans="1:12" ht="15">
      <c r="A6" s="7" t="s">
        <v>315</v>
      </c>
      <c r="B6" s="7">
        <v>4</v>
      </c>
      <c r="C6" s="7">
        <v>6</v>
      </c>
      <c r="D6" s="7">
        <v>6</v>
      </c>
      <c r="E6" s="7">
        <v>3</v>
      </c>
      <c r="F6" s="7">
        <v>0</v>
      </c>
      <c r="G6" s="7">
        <v>0</v>
      </c>
      <c r="H6" s="7">
        <v>3</v>
      </c>
      <c r="I6" s="7">
        <v>2</v>
      </c>
      <c r="J6" s="7">
        <v>0</v>
      </c>
      <c r="K6" s="7">
        <v>0</v>
      </c>
      <c r="L6" s="7">
        <v>24</v>
      </c>
    </row>
    <row r="7" spans="1:12" ht="15">
      <c r="A7" s="7" t="s">
        <v>316</v>
      </c>
      <c r="B7" s="7">
        <v>1</v>
      </c>
      <c r="C7" s="7">
        <v>2</v>
      </c>
      <c r="D7" s="7">
        <v>2</v>
      </c>
      <c r="E7" s="7">
        <v>3</v>
      </c>
      <c r="F7" s="7">
        <v>0</v>
      </c>
      <c r="G7" s="7">
        <v>3</v>
      </c>
      <c r="H7" s="7">
        <v>1</v>
      </c>
      <c r="I7" s="7">
        <v>4</v>
      </c>
      <c r="J7" s="7">
        <v>0</v>
      </c>
      <c r="K7" s="7">
        <v>0</v>
      </c>
      <c r="L7" s="7">
        <v>16</v>
      </c>
    </row>
    <row r="8" spans="1:12" ht="15">
      <c r="A8" s="7" t="s">
        <v>317</v>
      </c>
      <c r="B8" s="7">
        <v>4</v>
      </c>
      <c r="C8" s="7">
        <v>0</v>
      </c>
      <c r="D8" s="7">
        <v>4</v>
      </c>
      <c r="E8" s="7">
        <v>3</v>
      </c>
      <c r="F8" s="7">
        <v>0</v>
      </c>
      <c r="G8" s="7">
        <v>2</v>
      </c>
      <c r="H8" s="7">
        <v>0</v>
      </c>
      <c r="I8" s="7">
        <v>5</v>
      </c>
      <c r="J8" s="7">
        <v>5</v>
      </c>
      <c r="K8" s="7">
        <v>2</v>
      </c>
      <c r="L8" s="7">
        <v>25</v>
      </c>
    </row>
    <row r="9" spans="1:12" ht="15">
      <c r="A9" s="7" t="s">
        <v>318</v>
      </c>
      <c r="B9" s="7">
        <v>2</v>
      </c>
      <c r="C9" s="7">
        <v>0</v>
      </c>
      <c r="D9" s="7">
        <v>3</v>
      </c>
      <c r="E9" s="7">
        <v>4</v>
      </c>
      <c r="F9" s="7">
        <v>0</v>
      </c>
      <c r="G9" s="7">
        <v>3</v>
      </c>
      <c r="H9" s="7">
        <v>0</v>
      </c>
      <c r="I9" s="7">
        <v>6</v>
      </c>
      <c r="J9" s="7">
        <v>3</v>
      </c>
      <c r="K9" s="7">
        <v>0</v>
      </c>
      <c r="L9" s="7">
        <v>21</v>
      </c>
    </row>
    <row r="10" spans="1:12" ht="15">
      <c r="A10" s="7" t="s">
        <v>319</v>
      </c>
      <c r="B10" s="7">
        <v>0</v>
      </c>
      <c r="C10" s="7">
        <v>1</v>
      </c>
      <c r="D10" s="7">
        <v>0</v>
      </c>
      <c r="E10" s="7">
        <v>0</v>
      </c>
      <c r="F10" s="7">
        <v>2</v>
      </c>
      <c r="G10" s="7">
        <v>1</v>
      </c>
      <c r="H10" s="7">
        <v>1</v>
      </c>
      <c r="I10" s="7">
        <v>3</v>
      </c>
      <c r="J10" s="7">
        <v>1</v>
      </c>
      <c r="K10" s="7">
        <v>1</v>
      </c>
      <c r="L10" s="7">
        <v>10</v>
      </c>
    </row>
    <row r="11" spans="1:12" ht="15">
      <c r="A11" s="7" t="s">
        <v>320</v>
      </c>
      <c r="B11" s="7">
        <v>8</v>
      </c>
      <c r="C11" s="7">
        <v>1</v>
      </c>
      <c r="D11" s="7">
        <v>5</v>
      </c>
      <c r="E11" s="7">
        <v>6</v>
      </c>
      <c r="F11" s="7">
        <v>0</v>
      </c>
      <c r="G11" s="7">
        <v>2</v>
      </c>
      <c r="H11" s="7">
        <v>0</v>
      </c>
      <c r="I11" s="7">
        <v>7</v>
      </c>
      <c r="J11" s="7">
        <v>6</v>
      </c>
      <c r="K11" s="7">
        <v>4</v>
      </c>
      <c r="L11" s="7">
        <v>39</v>
      </c>
    </row>
    <row r="12" spans="1:12" ht="15.6">
      <c r="A12" s="3" t="s">
        <v>321</v>
      </c>
      <c r="B12" s="5">
        <v>22</v>
      </c>
      <c r="C12" s="5">
        <v>12</v>
      </c>
      <c r="D12" s="5">
        <v>23</v>
      </c>
      <c r="E12" s="5">
        <v>21</v>
      </c>
      <c r="F12" s="5">
        <v>5</v>
      </c>
      <c r="G12" s="5">
        <v>13</v>
      </c>
      <c r="H12" s="5">
        <v>5</v>
      </c>
      <c r="I12" s="5">
        <v>29</v>
      </c>
      <c r="J12" s="5">
        <v>16</v>
      </c>
      <c r="K12" s="5">
        <v>7</v>
      </c>
      <c r="L12" s="4">
        <v>153</v>
      </c>
    </row>
    <row r="13" spans="1:12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">
      <c r="A14" s="7" t="s">
        <v>322</v>
      </c>
      <c r="B14" s="7" t="s">
        <v>323</v>
      </c>
      <c r="C14" s="7" t="s">
        <v>324</v>
      </c>
      <c r="D14" s="7" t="s">
        <v>325</v>
      </c>
      <c r="E14" s="7"/>
      <c r="F14" s="7"/>
      <c r="G14" s="7"/>
      <c r="H14" s="7"/>
      <c r="I14" s="7"/>
      <c r="J14" s="7"/>
      <c r="K14" s="7"/>
      <c r="L14" s="7"/>
    </row>
    <row r="15" spans="1:12" ht="15">
      <c r="A15" s="7" t="s">
        <v>326</v>
      </c>
      <c r="B15" s="7">
        <v>0</v>
      </c>
      <c r="C15" s="7" t="s">
        <v>327</v>
      </c>
      <c r="D15" s="7" t="s">
        <v>328</v>
      </c>
      <c r="E15" s="7"/>
      <c r="F15" s="7"/>
      <c r="G15" s="7"/>
      <c r="H15" s="7"/>
      <c r="I15" s="7"/>
      <c r="J15" s="7"/>
      <c r="K15" s="7"/>
      <c r="L15" s="7"/>
    </row>
    <row r="16" spans="1:12" ht="30">
      <c r="A16" s="7" t="s">
        <v>329</v>
      </c>
      <c r="B16" s="7">
        <v>1</v>
      </c>
      <c r="C16" s="7" t="s">
        <v>330</v>
      </c>
      <c r="D16" s="7" t="s">
        <v>331</v>
      </c>
      <c r="E16" s="7"/>
      <c r="F16" s="7"/>
      <c r="G16" s="7"/>
      <c r="H16" s="7"/>
      <c r="I16" s="7"/>
      <c r="J16" s="7"/>
      <c r="K16" s="7"/>
      <c r="L16" s="7"/>
    </row>
    <row r="17" spans="1:12" ht="15">
      <c r="A17" s="7" t="s">
        <v>332</v>
      </c>
      <c r="B17" s="7" t="s">
        <v>333</v>
      </c>
      <c r="C17" s="7" t="s">
        <v>334</v>
      </c>
      <c r="D17" s="7" t="s">
        <v>335</v>
      </c>
      <c r="E17" s="7"/>
      <c r="F17" s="7"/>
      <c r="G17" s="7"/>
      <c r="H17" s="7"/>
      <c r="I17" s="7"/>
      <c r="J17" s="7"/>
      <c r="K17" s="7"/>
      <c r="L17" s="7"/>
    </row>
    <row r="18" spans="1:12" ht="30">
      <c r="A18" s="7" t="s">
        <v>336</v>
      </c>
      <c r="B18" s="7" t="s">
        <v>337</v>
      </c>
      <c r="C18" s="7" t="s">
        <v>338</v>
      </c>
      <c r="D18" s="7" t="s">
        <v>339</v>
      </c>
      <c r="E18" s="7"/>
      <c r="F18" s="7"/>
      <c r="G18" s="7"/>
      <c r="H18" s="7"/>
      <c r="I18" s="7"/>
      <c r="J18" s="7"/>
      <c r="K18" s="7"/>
      <c r="L18" s="7"/>
    </row>
    <row r="19" spans="1:12" ht="30">
      <c r="A19" s="7" t="s">
        <v>340</v>
      </c>
      <c r="B19" s="7" t="s">
        <v>341</v>
      </c>
      <c r="C19" s="7" t="s">
        <v>342</v>
      </c>
      <c r="D19" s="7" t="s">
        <v>343</v>
      </c>
      <c r="E19" s="7"/>
      <c r="F19" s="7"/>
      <c r="G19" s="7"/>
      <c r="H19" s="7"/>
      <c r="I19" s="7"/>
      <c r="J19" s="7"/>
      <c r="K19" s="7"/>
      <c r="L19" s="7"/>
    </row>
    <row r="20" spans="1:12" ht="27.6">
      <c r="A20" s="18" t="s">
        <v>344</v>
      </c>
      <c r="B20" s="18" t="s">
        <v>345</v>
      </c>
      <c r="C20" s="18" t="s">
        <v>346</v>
      </c>
      <c r="D20" s="18" t="s">
        <v>347</v>
      </c>
      <c r="E20" s="18"/>
      <c r="F20" s="18"/>
      <c r="G20" s="18"/>
      <c r="H20" s="18"/>
      <c r="I20" s="18"/>
      <c r="J20" s="18"/>
      <c r="K20" s="18"/>
      <c r="L20" s="18"/>
    </row>
  </sheetData>
  <mergeCells count="1">
    <mergeCell ref="A1:J1"/>
  </mergeCells>
  <phoneticPr fontId="8" type="noConversion"/>
  <conditionalFormatting sqref="B4:K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showGridLines="0" workbookViewId="0"/>
  </sheetViews>
  <sheetFormatPr defaultRowHeight="13.8"/>
  <cols>
    <col min="1" max="1" width="24" customWidth="1"/>
    <col min="2" max="2" width="18" customWidth="1"/>
    <col min="3" max="3" width="28" customWidth="1"/>
    <col min="4" max="4" width="48" customWidth="1"/>
    <col min="6" max="6" width="14" customWidth="1"/>
    <col min="7" max="7" width="26" customWidth="1"/>
    <col min="8" max="8" width="40" customWidth="1"/>
  </cols>
  <sheetData>
    <row r="1" spans="1:12" ht="23.4">
      <c r="A1" s="27" t="s">
        <v>348</v>
      </c>
      <c r="B1" s="27"/>
      <c r="C1" s="27"/>
      <c r="D1" s="27"/>
      <c r="E1" s="27"/>
      <c r="F1" s="27"/>
      <c r="G1" s="1"/>
      <c r="H1" s="1"/>
      <c r="I1" s="1"/>
      <c r="J1" s="1"/>
      <c r="K1" s="1"/>
      <c r="L1" s="1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5.6">
      <c r="A3" s="3" t="s">
        <v>51</v>
      </c>
      <c r="B3" s="5" t="s">
        <v>349</v>
      </c>
      <c r="C3" s="5" t="s">
        <v>350</v>
      </c>
      <c r="D3" s="4" t="s">
        <v>2</v>
      </c>
      <c r="E3" s="7"/>
      <c r="F3" s="3" t="s">
        <v>351</v>
      </c>
      <c r="G3" s="5" t="s">
        <v>352</v>
      </c>
      <c r="H3" s="4" t="s">
        <v>353</v>
      </c>
      <c r="I3" s="2"/>
      <c r="J3" s="2"/>
      <c r="K3" s="2"/>
      <c r="L3" s="2"/>
    </row>
    <row r="4" spans="1:12" ht="30">
      <c r="A4" s="7" t="s">
        <v>63</v>
      </c>
      <c r="B4" s="7" t="s">
        <v>354</v>
      </c>
      <c r="C4" s="7" t="s">
        <v>104</v>
      </c>
      <c r="D4" s="7" t="s">
        <v>355</v>
      </c>
      <c r="E4" s="7"/>
      <c r="F4" s="7" t="s">
        <v>356</v>
      </c>
      <c r="G4" s="7" t="s">
        <v>302</v>
      </c>
      <c r="H4" s="7" t="s">
        <v>357</v>
      </c>
      <c r="I4" s="2"/>
      <c r="J4" s="2"/>
      <c r="K4" s="2"/>
      <c r="L4" s="2"/>
    </row>
    <row r="5" spans="1:12" ht="30">
      <c r="A5" s="7" t="s">
        <v>83</v>
      </c>
      <c r="B5" s="7" t="s">
        <v>358</v>
      </c>
      <c r="C5" s="7" t="s">
        <v>359</v>
      </c>
      <c r="D5" s="7" t="s">
        <v>355</v>
      </c>
      <c r="E5" s="7"/>
      <c r="F5" s="7" t="s">
        <v>360</v>
      </c>
      <c r="G5" s="7" t="s">
        <v>303</v>
      </c>
      <c r="H5" s="7" t="s">
        <v>357</v>
      </c>
      <c r="I5" s="2"/>
      <c r="J5" s="2"/>
      <c r="K5" s="2"/>
      <c r="L5" s="2"/>
    </row>
    <row r="6" spans="1:12" ht="30">
      <c r="A6" s="7" t="s">
        <v>109</v>
      </c>
      <c r="B6" s="7" t="s">
        <v>361</v>
      </c>
      <c r="C6" s="7" t="s">
        <v>362</v>
      </c>
      <c r="D6" s="7" t="s">
        <v>355</v>
      </c>
      <c r="E6" s="7"/>
      <c r="F6" s="7" t="s">
        <v>363</v>
      </c>
      <c r="G6" s="7" t="s">
        <v>304</v>
      </c>
      <c r="H6" s="7" t="s">
        <v>357</v>
      </c>
      <c r="I6" s="2"/>
      <c r="J6" s="2"/>
      <c r="K6" s="2"/>
      <c r="L6" s="2"/>
    </row>
    <row r="7" spans="1:12" ht="30">
      <c r="A7" s="7" t="s">
        <v>187</v>
      </c>
      <c r="B7" s="7" t="s">
        <v>364</v>
      </c>
      <c r="C7" s="7" t="s">
        <v>271</v>
      </c>
      <c r="D7" s="7" t="s">
        <v>355</v>
      </c>
      <c r="E7" s="7"/>
      <c r="F7" s="7" t="s">
        <v>365</v>
      </c>
      <c r="G7" s="7" t="s">
        <v>305</v>
      </c>
      <c r="H7" s="7" t="s">
        <v>357</v>
      </c>
      <c r="I7" s="2"/>
      <c r="J7" s="2"/>
      <c r="K7" s="2"/>
      <c r="L7" s="2"/>
    </row>
    <row r="8" spans="1:12" ht="30">
      <c r="A8" s="7" t="s">
        <v>252</v>
      </c>
      <c r="B8" s="7" t="s">
        <v>366</v>
      </c>
      <c r="C8" s="7" t="s">
        <v>367</v>
      </c>
      <c r="D8" s="7" t="s">
        <v>355</v>
      </c>
      <c r="E8" s="7"/>
      <c r="F8" s="7" t="s">
        <v>368</v>
      </c>
      <c r="G8" s="7" t="s">
        <v>306</v>
      </c>
      <c r="H8" s="7" t="s">
        <v>357</v>
      </c>
      <c r="I8" s="2"/>
      <c r="J8" s="2"/>
      <c r="K8" s="2"/>
      <c r="L8" s="2"/>
    </row>
    <row r="9" spans="1:12" ht="30">
      <c r="A9" s="7" t="s">
        <v>74</v>
      </c>
      <c r="B9" s="7" t="s">
        <v>369</v>
      </c>
      <c r="C9" s="7" t="s">
        <v>181</v>
      </c>
      <c r="D9" s="7" t="s">
        <v>355</v>
      </c>
      <c r="E9" s="7"/>
      <c r="F9" s="7" t="s">
        <v>370</v>
      </c>
      <c r="G9" s="7" t="s">
        <v>307</v>
      </c>
      <c r="H9" s="7" t="s">
        <v>357</v>
      </c>
      <c r="I9" s="2"/>
      <c r="J9" s="2"/>
      <c r="K9" s="2"/>
      <c r="L9" s="2"/>
    </row>
    <row r="10" spans="1:12" ht="30">
      <c r="A10" s="7" t="s">
        <v>170</v>
      </c>
      <c r="B10" s="7" t="s">
        <v>371</v>
      </c>
      <c r="C10" s="7" t="s">
        <v>372</v>
      </c>
      <c r="D10" s="7" t="s">
        <v>355</v>
      </c>
      <c r="E10" s="7"/>
      <c r="F10" s="7" t="s">
        <v>373</v>
      </c>
      <c r="G10" s="7" t="s">
        <v>308</v>
      </c>
      <c r="H10" s="7" t="s">
        <v>357</v>
      </c>
      <c r="I10" s="2"/>
      <c r="J10" s="2"/>
      <c r="K10" s="2"/>
      <c r="L10" s="2"/>
    </row>
    <row r="11" spans="1:12" ht="30">
      <c r="A11" s="7" t="s">
        <v>90</v>
      </c>
      <c r="B11" s="7" t="s">
        <v>374</v>
      </c>
      <c r="C11" s="7" t="s">
        <v>375</v>
      </c>
      <c r="D11" s="7" t="s">
        <v>355</v>
      </c>
      <c r="E11" s="7"/>
      <c r="F11" s="7" t="s">
        <v>376</v>
      </c>
      <c r="G11" s="7" t="s">
        <v>309</v>
      </c>
      <c r="H11" s="7" t="s">
        <v>357</v>
      </c>
      <c r="I11" s="2"/>
      <c r="J11" s="2"/>
      <c r="K11" s="2"/>
      <c r="L11" s="2"/>
    </row>
    <row r="12" spans="1:12" ht="15">
      <c r="A12" s="7"/>
      <c r="B12" s="7"/>
      <c r="C12" s="7"/>
      <c r="D12" s="7"/>
      <c r="E12" s="7"/>
      <c r="F12" s="7" t="s">
        <v>377</v>
      </c>
      <c r="G12" s="7" t="s">
        <v>310</v>
      </c>
      <c r="H12" s="7" t="s">
        <v>357</v>
      </c>
      <c r="I12" s="2"/>
      <c r="J12" s="2"/>
      <c r="K12" s="2"/>
      <c r="L12" s="2"/>
    </row>
    <row r="13" spans="1:12" ht="15">
      <c r="A13" s="7"/>
      <c r="B13" s="7"/>
      <c r="C13" s="7"/>
      <c r="D13" s="7"/>
      <c r="E13" s="7"/>
      <c r="F13" s="7" t="s">
        <v>378</v>
      </c>
      <c r="G13" s="7" t="s">
        <v>311</v>
      </c>
      <c r="H13" s="7" t="s">
        <v>357</v>
      </c>
      <c r="I13" s="2"/>
      <c r="J13" s="2"/>
      <c r="K13" s="2"/>
      <c r="L13" s="2"/>
    </row>
    <row r="14" spans="1:12" ht="15">
      <c r="A14" s="7"/>
      <c r="B14" s="7"/>
      <c r="C14" s="7"/>
      <c r="D14" s="7"/>
      <c r="E14" s="7"/>
      <c r="F14" s="7"/>
      <c r="G14" s="7"/>
      <c r="H14" s="7"/>
      <c r="I14" s="2"/>
      <c r="J14" s="2"/>
      <c r="K14" s="2"/>
      <c r="L14" s="2"/>
    </row>
    <row r="15" spans="1:12" ht="15">
      <c r="A15" s="7"/>
      <c r="B15" s="7"/>
      <c r="C15" s="7"/>
      <c r="D15" s="7"/>
      <c r="E15" s="7"/>
      <c r="F15" s="7"/>
      <c r="G15" s="7"/>
      <c r="H15" s="7"/>
      <c r="I15" s="2"/>
      <c r="J15" s="2"/>
      <c r="K15" s="2"/>
      <c r="L15" s="2"/>
    </row>
    <row r="16" spans="1:12" ht="15.6">
      <c r="A16" s="7"/>
      <c r="B16" s="7"/>
      <c r="C16" s="7"/>
      <c r="D16" s="7"/>
      <c r="E16" s="7"/>
      <c r="F16" s="3" t="s">
        <v>379</v>
      </c>
      <c r="G16" s="5" t="s">
        <v>380</v>
      </c>
      <c r="H16" s="4" t="s">
        <v>381</v>
      </c>
      <c r="I16" s="2"/>
      <c r="J16" s="2"/>
      <c r="K16" s="2"/>
      <c r="L16" s="2"/>
    </row>
    <row r="17" spans="1:12" ht="15">
      <c r="A17" s="7"/>
      <c r="B17" s="7"/>
      <c r="C17" s="7"/>
      <c r="D17" s="7"/>
      <c r="E17" s="7"/>
      <c r="F17" s="7" t="s">
        <v>62</v>
      </c>
      <c r="G17" s="7" t="s">
        <v>382</v>
      </c>
      <c r="H17" s="7" t="s">
        <v>383</v>
      </c>
      <c r="I17" s="2"/>
      <c r="J17" s="2"/>
      <c r="K17" s="2"/>
      <c r="L17" s="2"/>
    </row>
    <row r="18" spans="1:12" ht="15">
      <c r="A18" s="7"/>
      <c r="B18" s="7"/>
      <c r="C18" s="7"/>
      <c r="D18" s="7"/>
      <c r="E18" s="7"/>
      <c r="F18" s="7" t="s">
        <v>89</v>
      </c>
      <c r="G18" s="7" t="s">
        <v>384</v>
      </c>
      <c r="H18" s="7" t="s">
        <v>385</v>
      </c>
      <c r="I18" s="2"/>
      <c r="J18" s="2"/>
      <c r="K18" s="2"/>
      <c r="L18" s="2"/>
    </row>
    <row r="19" spans="1:12" ht="15">
      <c r="A19" s="7"/>
      <c r="B19" s="7"/>
      <c r="C19" s="7"/>
      <c r="D19" s="7"/>
      <c r="E19" s="7"/>
      <c r="F19" s="7" t="s">
        <v>103</v>
      </c>
      <c r="G19" s="7" t="s">
        <v>386</v>
      </c>
      <c r="H19" s="7" t="s">
        <v>387</v>
      </c>
      <c r="I19" s="2"/>
      <c r="J19" s="2"/>
      <c r="K19" s="2"/>
      <c r="L19" s="2"/>
    </row>
    <row r="20" spans="1:12" ht="15">
      <c r="A20" s="7"/>
      <c r="B20" s="7"/>
      <c r="C20" s="7"/>
      <c r="D20" s="7"/>
      <c r="E20" s="7"/>
      <c r="F20" s="7" t="s">
        <v>157</v>
      </c>
      <c r="G20" s="7" t="s">
        <v>388</v>
      </c>
      <c r="H20" s="7" t="s">
        <v>389</v>
      </c>
      <c r="I20" s="2"/>
      <c r="J20" s="2"/>
      <c r="K20" s="2"/>
      <c r="L20" s="2"/>
    </row>
    <row r="21" spans="1:12" ht="15">
      <c r="A21" s="7"/>
      <c r="B21" s="7"/>
      <c r="C21" s="7"/>
      <c r="D21" s="7"/>
      <c r="E21" s="7"/>
      <c r="F21" s="7" t="s">
        <v>186</v>
      </c>
      <c r="G21" s="7" t="s">
        <v>390</v>
      </c>
      <c r="H21" s="7" t="s">
        <v>391</v>
      </c>
      <c r="I21" s="2"/>
      <c r="J21" s="2"/>
      <c r="K21" s="2"/>
      <c r="L21" s="2"/>
    </row>
    <row r="22" spans="1:12" ht="15">
      <c r="A22" s="7"/>
      <c r="B22" s="7"/>
      <c r="C22" s="7"/>
      <c r="D22" s="7"/>
      <c r="E22" s="7"/>
      <c r="F22" s="7" t="s">
        <v>211</v>
      </c>
      <c r="G22" s="7" t="s">
        <v>227</v>
      </c>
      <c r="H22" s="7" t="s">
        <v>392</v>
      </c>
      <c r="I22" s="2"/>
      <c r="J22" s="2"/>
      <c r="K22" s="2"/>
      <c r="L22" s="2"/>
    </row>
    <row r="23" spans="1:12" ht="15">
      <c r="A23" s="7"/>
      <c r="B23" s="7"/>
      <c r="C23" s="7"/>
      <c r="D23" s="7"/>
      <c r="E23" s="7"/>
      <c r="F23" s="7" t="s">
        <v>239</v>
      </c>
      <c r="G23" s="7" t="s">
        <v>393</v>
      </c>
      <c r="H23" s="7" t="s">
        <v>394</v>
      </c>
      <c r="I23" s="2"/>
      <c r="J23" s="2"/>
      <c r="K23" s="2"/>
      <c r="L23" s="2"/>
    </row>
    <row r="24" spans="1:12" ht="15">
      <c r="A24" s="7"/>
      <c r="B24" s="7"/>
      <c r="C24" s="7"/>
      <c r="D24" s="7"/>
      <c r="E24" s="7"/>
      <c r="F24" s="7" t="s">
        <v>262</v>
      </c>
      <c r="G24" s="7" t="s">
        <v>395</v>
      </c>
      <c r="H24" s="7" t="s">
        <v>396</v>
      </c>
      <c r="I24" s="2"/>
      <c r="J24" s="2"/>
      <c r="K24" s="2"/>
      <c r="L24" s="2"/>
    </row>
  </sheetData>
  <mergeCells count="1">
    <mergeCell ref="A1:F1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showGridLines="0" workbookViewId="0"/>
  </sheetViews>
  <sheetFormatPr defaultRowHeight="13.8"/>
  <cols>
    <col min="1" max="1" width="18" customWidth="1"/>
    <col min="2" max="2" width="22" customWidth="1"/>
    <col min="3" max="3" width="24" customWidth="1"/>
    <col min="4" max="4" width="42" customWidth="1"/>
    <col min="5" max="5" width="34" customWidth="1"/>
    <col min="6" max="6" width="36" customWidth="1"/>
    <col min="7" max="7" width="18" customWidth="1"/>
    <col min="8" max="8" width="14" customWidth="1"/>
  </cols>
  <sheetData>
    <row r="1" spans="1:8" ht="21">
      <c r="A1" s="28" t="s">
        <v>397</v>
      </c>
      <c r="B1" s="28"/>
      <c r="C1" s="28"/>
      <c r="D1" s="28"/>
      <c r="E1" s="28"/>
      <c r="F1" s="28"/>
      <c r="G1" s="28"/>
      <c r="H1" s="28"/>
    </row>
    <row r="3" spans="1:8">
      <c r="A3" s="19" t="s">
        <v>47</v>
      </c>
      <c r="B3" s="20" t="s">
        <v>398</v>
      </c>
      <c r="C3" s="20" t="s">
        <v>399</v>
      </c>
      <c r="D3" s="20" t="s">
        <v>400</v>
      </c>
      <c r="E3" s="20" t="s">
        <v>401</v>
      </c>
      <c r="F3" s="20" t="s">
        <v>402</v>
      </c>
      <c r="G3" s="20" t="s">
        <v>403</v>
      </c>
      <c r="H3" s="21" t="s">
        <v>404</v>
      </c>
    </row>
    <row r="4" spans="1:8" ht="30">
      <c r="A4" s="9" t="s">
        <v>80</v>
      </c>
      <c r="B4" s="10" t="s">
        <v>405</v>
      </c>
      <c r="C4" s="10" t="s">
        <v>406</v>
      </c>
      <c r="D4" s="10" t="s">
        <v>407</v>
      </c>
      <c r="E4" s="10" t="s">
        <v>408</v>
      </c>
      <c r="F4" s="10" t="s">
        <v>409</v>
      </c>
      <c r="G4" s="10" t="s">
        <v>410</v>
      </c>
      <c r="H4" s="11" t="s">
        <v>16</v>
      </c>
    </row>
    <row r="5" spans="1:8" ht="15">
      <c r="A5" s="12" t="s">
        <v>112</v>
      </c>
      <c r="B5" s="13" t="s">
        <v>411</v>
      </c>
      <c r="C5" s="13" t="s">
        <v>412</v>
      </c>
      <c r="D5" s="13" t="s">
        <v>413</v>
      </c>
      <c r="E5" s="13" t="s">
        <v>414</v>
      </c>
      <c r="F5" s="13" t="s">
        <v>415</v>
      </c>
      <c r="G5" s="13" t="s">
        <v>410</v>
      </c>
      <c r="H5" s="14" t="s">
        <v>16</v>
      </c>
    </row>
    <row r="6" spans="1:8" ht="15">
      <c r="A6" s="12" t="s">
        <v>117</v>
      </c>
      <c r="B6" s="13" t="s">
        <v>405</v>
      </c>
      <c r="C6" s="13" t="s">
        <v>416</v>
      </c>
      <c r="D6" s="13" t="s">
        <v>417</v>
      </c>
      <c r="E6" s="13" t="s">
        <v>418</v>
      </c>
      <c r="F6" s="13" t="s">
        <v>419</v>
      </c>
      <c r="G6" s="13" t="s">
        <v>410</v>
      </c>
      <c r="H6" s="14" t="s">
        <v>16</v>
      </c>
    </row>
    <row r="7" spans="1:8" ht="15">
      <c r="A7" s="12" t="s">
        <v>124</v>
      </c>
      <c r="B7" s="13" t="s">
        <v>420</v>
      </c>
      <c r="C7" s="13" t="s">
        <v>421</v>
      </c>
      <c r="D7" s="13" t="s">
        <v>422</v>
      </c>
      <c r="E7" s="13" t="s">
        <v>423</v>
      </c>
      <c r="F7" s="13" t="s">
        <v>424</v>
      </c>
      <c r="G7" s="13" t="s">
        <v>410</v>
      </c>
      <c r="H7" s="14" t="s">
        <v>16</v>
      </c>
    </row>
    <row r="8" spans="1:8" ht="15">
      <c r="A8" s="12" t="s">
        <v>128</v>
      </c>
      <c r="B8" s="13" t="s">
        <v>425</v>
      </c>
      <c r="C8" s="13" t="s">
        <v>129</v>
      </c>
      <c r="D8" s="13" t="s">
        <v>426</v>
      </c>
      <c r="E8" s="13" t="s">
        <v>427</v>
      </c>
      <c r="F8" s="13" t="s">
        <v>428</v>
      </c>
      <c r="G8" s="13" t="s">
        <v>410</v>
      </c>
      <c r="H8" s="14" t="s">
        <v>16</v>
      </c>
    </row>
    <row r="9" spans="1:8" ht="15">
      <c r="A9" s="12" t="s">
        <v>154</v>
      </c>
      <c r="B9" s="13" t="s">
        <v>405</v>
      </c>
      <c r="C9" s="13" t="s">
        <v>155</v>
      </c>
      <c r="D9" s="13" t="s">
        <v>429</v>
      </c>
      <c r="E9" s="13" t="s">
        <v>430</v>
      </c>
      <c r="F9" s="13" t="s">
        <v>431</v>
      </c>
      <c r="G9" s="13" t="s">
        <v>410</v>
      </c>
      <c r="H9" s="14" t="s">
        <v>16</v>
      </c>
    </row>
    <row r="10" spans="1:8" ht="15">
      <c r="A10" s="12" t="s">
        <v>162</v>
      </c>
      <c r="B10" s="13" t="s">
        <v>405</v>
      </c>
      <c r="C10" s="13" t="s">
        <v>432</v>
      </c>
      <c r="D10" s="13" t="s">
        <v>433</v>
      </c>
      <c r="E10" s="13" t="s">
        <v>434</v>
      </c>
      <c r="F10" s="13" t="s">
        <v>435</v>
      </c>
      <c r="G10" s="13" t="s">
        <v>410</v>
      </c>
      <c r="H10" s="14" t="s">
        <v>16</v>
      </c>
    </row>
    <row r="11" spans="1:8" ht="15">
      <c r="A11" s="12" t="s">
        <v>236</v>
      </c>
      <c r="B11" s="13" t="s">
        <v>425</v>
      </c>
      <c r="C11" s="13" t="s">
        <v>436</v>
      </c>
      <c r="D11" s="13" t="s">
        <v>437</v>
      </c>
      <c r="E11" s="13" t="s">
        <v>438</v>
      </c>
      <c r="F11" s="13" t="s">
        <v>439</v>
      </c>
      <c r="G11" s="13" t="s">
        <v>410</v>
      </c>
      <c r="H11" s="14" t="s">
        <v>16</v>
      </c>
    </row>
    <row r="12" spans="1:8" ht="30">
      <c r="A12" s="15" t="s">
        <v>611</v>
      </c>
      <c r="B12" s="16" t="s">
        <v>618</v>
      </c>
      <c r="C12" s="16" t="s">
        <v>612</v>
      </c>
      <c r="D12" s="16" t="s">
        <v>613</v>
      </c>
      <c r="E12" s="16" t="s">
        <v>614</v>
      </c>
      <c r="F12" s="16" t="s">
        <v>619</v>
      </c>
      <c r="G12" s="16" t="s">
        <v>620</v>
      </c>
      <c r="H12" s="25">
        <v>46257</v>
      </c>
    </row>
    <row r="13" spans="1:8">
      <c r="A13" t="s">
        <v>80</v>
      </c>
      <c r="B13" t="s">
        <v>636</v>
      </c>
      <c r="C13" t="s">
        <v>637</v>
      </c>
      <c r="D13" t="s">
        <v>638</v>
      </c>
      <c r="E13" t="s">
        <v>639</v>
      </c>
      <c r="F13" t="s">
        <v>640</v>
      </c>
      <c r="G13" t="s">
        <v>641</v>
      </c>
      <c r="H13" s="26">
        <v>46257</v>
      </c>
    </row>
  </sheetData>
  <mergeCells count="1">
    <mergeCell ref="A1:H1"/>
  </mergeCells>
  <phoneticPr fontId="8" type="noConversion"/>
  <conditionalFormatting sqref="G4:G12">
    <cfRule type="containsText" dxfId="0" priority="1" operator="containsText" text="否"/>
  </conditionalFormatting>
  <dataValidations count="1">
    <dataValidation type="list" sqref="G4:G12" xr:uid="{00000000-0002-0000-0400-000000000000}">
      <formula1>"是,否"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2"/>
  <sheetViews>
    <sheetView showGridLines="0" workbookViewId="0"/>
  </sheetViews>
  <sheetFormatPr defaultRowHeight="13.8"/>
  <cols>
    <col min="1" max="1" width="22" customWidth="1"/>
    <col min="2" max="2" width="10" customWidth="1"/>
    <col min="3" max="3" width="22" customWidth="1"/>
    <col min="4" max="4" width="38" customWidth="1"/>
    <col min="5" max="6" width="18" customWidth="1"/>
    <col min="7" max="7" width="28" customWidth="1"/>
    <col min="8" max="8" width="12" customWidth="1"/>
    <col min="9" max="9" width="34" customWidth="1"/>
    <col min="10" max="11" width="14" customWidth="1"/>
    <col min="12" max="12" width="42" customWidth="1"/>
  </cols>
  <sheetData>
    <row r="1" spans="1:12" ht="23.4">
      <c r="A1" s="29" t="s">
        <v>685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2">
      <c r="A3" s="22" t="s">
        <v>440</v>
      </c>
      <c r="B3" s="23" t="s">
        <v>441</v>
      </c>
      <c r="C3" s="23" t="s">
        <v>48</v>
      </c>
      <c r="D3" s="23" t="s">
        <v>49</v>
      </c>
      <c r="E3" s="23" t="s">
        <v>50</v>
      </c>
      <c r="F3" s="23" t="s">
        <v>51</v>
      </c>
      <c r="G3" s="23" t="s">
        <v>52</v>
      </c>
      <c r="H3" s="23" t="s">
        <v>442</v>
      </c>
      <c r="I3" s="23" t="s">
        <v>443</v>
      </c>
      <c r="J3" s="23" t="s">
        <v>444</v>
      </c>
      <c r="K3" s="23" t="s">
        <v>445</v>
      </c>
      <c r="L3" s="24" t="s">
        <v>446</v>
      </c>
    </row>
    <row r="4" spans="1:12" ht="30">
      <c r="A4" s="9" t="s">
        <v>59</v>
      </c>
      <c r="B4" s="10">
        <v>582</v>
      </c>
      <c r="C4" s="10" t="s">
        <v>447</v>
      </c>
      <c r="D4" s="10" t="s">
        <v>61</v>
      </c>
      <c r="E4" s="10" t="s">
        <v>62</v>
      </c>
      <c r="F4" s="10" t="s">
        <v>63</v>
      </c>
      <c r="G4" s="10" t="s">
        <v>64</v>
      </c>
      <c r="H4" s="10" t="s">
        <v>448</v>
      </c>
      <c r="I4" s="10" t="s">
        <v>449</v>
      </c>
      <c r="J4" s="10">
        <f t="shared" ref="J4:J28" si="0">IF(I4="","",LEN(I4)-LEN(SUBSTITUTE(I4,";",""))+1)</f>
        <v>4</v>
      </c>
      <c r="K4" s="10" t="s">
        <v>450</v>
      </c>
      <c r="L4" s="11" t="s">
        <v>451</v>
      </c>
    </row>
    <row r="5" spans="1:12" ht="30">
      <c r="A5" s="12" t="s">
        <v>452</v>
      </c>
      <c r="B5" s="13">
        <v>584</v>
      </c>
      <c r="C5" s="13" t="s">
        <v>453</v>
      </c>
      <c r="D5" s="13" t="s">
        <v>454</v>
      </c>
      <c r="E5" s="13" t="s">
        <v>62</v>
      </c>
      <c r="F5" s="13" t="s">
        <v>74</v>
      </c>
      <c r="G5" s="13" t="s">
        <v>75</v>
      </c>
      <c r="H5" s="13" t="s">
        <v>448</v>
      </c>
      <c r="I5" s="13" t="s">
        <v>455</v>
      </c>
      <c r="J5" s="13">
        <f t="shared" si="0"/>
        <v>1</v>
      </c>
      <c r="K5" s="13" t="s">
        <v>456</v>
      </c>
      <c r="L5" s="14" t="s">
        <v>451</v>
      </c>
    </row>
    <row r="6" spans="1:12" ht="45">
      <c r="A6" s="12" t="s">
        <v>94</v>
      </c>
      <c r="B6" s="13">
        <v>617</v>
      </c>
      <c r="C6" s="13" t="s">
        <v>457</v>
      </c>
      <c r="D6" s="13" t="s">
        <v>96</v>
      </c>
      <c r="E6" s="13" t="s">
        <v>89</v>
      </c>
      <c r="F6" s="13" t="s">
        <v>63</v>
      </c>
      <c r="G6" s="13" t="s">
        <v>97</v>
      </c>
      <c r="H6" s="13" t="s">
        <v>448</v>
      </c>
      <c r="I6" s="13" t="s">
        <v>458</v>
      </c>
      <c r="J6" s="13">
        <f t="shared" si="0"/>
        <v>5</v>
      </c>
      <c r="K6" s="13" t="s">
        <v>459</v>
      </c>
      <c r="L6" s="14" t="s">
        <v>451</v>
      </c>
    </row>
    <row r="7" spans="1:12" ht="30">
      <c r="A7" s="12" t="s">
        <v>106</v>
      </c>
      <c r="B7" s="13">
        <v>626</v>
      </c>
      <c r="C7" s="13" t="s">
        <v>460</v>
      </c>
      <c r="D7" s="13" t="s">
        <v>108</v>
      </c>
      <c r="E7" s="13" t="s">
        <v>103</v>
      </c>
      <c r="F7" s="13" t="s">
        <v>109</v>
      </c>
      <c r="G7" s="13" t="s">
        <v>110</v>
      </c>
      <c r="H7" s="13" t="s">
        <v>448</v>
      </c>
      <c r="I7" s="13" t="s">
        <v>461</v>
      </c>
      <c r="J7" s="13">
        <f t="shared" si="0"/>
        <v>4</v>
      </c>
      <c r="K7" s="13" t="s">
        <v>459</v>
      </c>
      <c r="L7" s="14" t="s">
        <v>451</v>
      </c>
    </row>
    <row r="8" spans="1:12" ht="30">
      <c r="A8" s="12" t="s">
        <v>462</v>
      </c>
      <c r="B8" s="13">
        <v>648</v>
      </c>
      <c r="C8" s="13" t="s">
        <v>463</v>
      </c>
      <c r="D8" s="13" t="s">
        <v>464</v>
      </c>
      <c r="E8" s="13" t="s">
        <v>103</v>
      </c>
      <c r="F8" s="13" t="s">
        <v>83</v>
      </c>
      <c r="G8" s="13" t="s">
        <v>120</v>
      </c>
      <c r="H8" s="13" t="s">
        <v>448</v>
      </c>
      <c r="I8" s="13" t="s">
        <v>465</v>
      </c>
      <c r="J8" s="13">
        <f t="shared" si="0"/>
        <v>2</v>
      </c>
      <c r="K8" s="13" t="s">
        <v>459</v>
      </c>
      <c r="L8" s="14" t="s">
        <v>451</v>
      </c>
    </row>
    <row r="9" spans="1:12" ht="30">
      <c r="A9" s="12" t="s">
        <v>466</v>
      </c>
      <c r="B9" s="13">
        <v>662</v>
      </c>
      <c r="C9" s="13" t="s">
        <v>467</v>
      </c>
      <c r="D9" s="13" t="s">
        <v>468</v>
      </c>
      <c r="E9" s="13" t="s">
        <v>103</v>
      </c>
      <c r="F9" s="13" t="s">
        <v>83</v>
      </c>
      <c r="G9" s="13" t="s">
        <v>131</v>
      </c>
      <c r="H9" s="13" t="s">
        <v>448</v>
      </c>
      <c r="I9" s="13" t="s">
        <v>469</v>
      </c>
      <c r="J9" s="13">
        <f t="shared" si="0"/>
        <v>2</v>
      </c>
      <c r="K9" s="13" t="s">
        <v>459</v>
      </c>
      <c r="L9" s="14" t="s">
        <v>451</v>
      </c>
    </row>
    <row r="10" spans="1:12" ht="30">
      <c r="A10" s="12" t="s">
        <v>135</v>
      </c>
      <c r="B10" s="13">
        <v>690</v>
      </c>
      <c r="C10" s="13" t="s">
        <v>470</v>
      </c>
      <c r="D10" s="13" t="s">
        <v>137</v>
      </c>
      <c r="E10" s="13" t="s">
        <v>103</v>
      </c>
      <c r="F10" s="13" t="s">
        <v>90</v>
      </c>
      <c r="G10" s="13" t="s">
        <v>91</v>
      </c>
      <c r="H10" s="13" t="s">
        <v>448</v>
      </c>
      <c r="I10" s="13" t="s">
        <v>471</v>
      </c>
      <c r="J10" s="13">
        <f t="shared" si="0"/>
        <v>4</v>
      </c>
      <c r="K10" s="13" t="s">
        <v>459</v>
      </c>
      <c r="L10" s="14" t="s">
        <v>451</v>
      </c>
    </row>
    <row r="11" spans="1:12" ht="30">
      <c r="A11" s="12" t="s">
        <v>472</v>
      </c>
      <c r="B11" s="13">
        <v>705</v>
      </c>
      <c r="C11" s="13" t="s">
        <v>473</v>
      </c>
      <c r="D11" s="13" t="s">
        <v>474</v>
      </c>
      <c r="E11" s="13" t="s">
        <v>103</v>
      </c>
      <c r="F11" s="13" t="s">
        <v>90</v>
      </c>
      <c r="G11" s="13" t="s">
        <v>91</v>
      </c>
      <c r="H11" s="13" t="s">
        <v>448</v>
      </c>
      <c r="I11" s="13" t="s">
        <v>475</v>
      </c>
      <c r="J11" s="13">
        <f t="shared" si="0"/>
        <v>3</v>
      </c>
      <c r="K11" s="13" t="s">
        <v>459</v>
      </c>
      <c r="L11" s="14" t="s">
        <v>451</v>
      </c>
    </row>
    <row r="12" spans="1:12" ht="30">
      <c r="A12" s="12" t="s">
        <v>476</v>
      </c>
      <c r="B12" s="13">
        <v>714</v>
      </c>
      <c r="C12" s="13" t="s">
        <v>477</v>
      </c>
      <c r="D12" s="13" t="s">
        <v>478</v>
      </c>
      <c r="E12" s="13" t="s">
        <v>157</v>
      </c>
      <c r="F12" s="13" t="s">
        <v>83</v>
      </c>
      <c r="G12" s="13" t="s">
        <v>479</v>
      </c>
      <c r="H12" s="13" t="s">
        <v>448</v>
      </c>
      <c r="I12" s="13" t="s">
        <v>480</v>
      </c>
      <c r="J12" s="13">
        <f t="shared" si="0"/>
        <v>3</v>
      </c>
      <c r="K12" s="13" t="s">
        <v>459</v>
      </c>
      <c r="L12" s="14" t="s">
        <v>451</v>
      </c>
    </row>
    <row r="13" spans="1:12" ht="30">
      <c r="A13" s="12" t="s">
        <v>481</v>
      </c>
      <c r="B13" s="13">
        <v>733</v>
      </c>
      <c r="C13" s="13" t="s">
        <v>482</v>
      </c>
      <c r="D13" s="13" t="s">
        <v>483</v>
      </c>
      <c r="E13" s="13" t="s">
        <v>157</v>
      </c>
      <c r="F13" s="13" t="s">
        <v>252</v>
      </c>
      <c r="G13" s="13" t="s">
        <v>484</v>
      </c>
      <c r="H13" s="13" t="s">
        <v>448</v>
      </c>
      <c r="I13" s="13" t="s">
        <v>485</v>
      </c>
      <c r="J13" s="13">
        <f t="shared" si="0"/>
        <v>3</v>
      </c>
      <c r="K13" s="13" t="s">
        <v>456</v>
      </c>
      <c r="L13" s="14" t="s">
        <v>451</v>
      </c>
    </row>
    <row r="14" spans="1:12" ht="45">
      <c r="A14" s="12" t="s">
        <v>183</v>
      </c>
      <c r="B14" s="13">
        <v>756</v>
      </c>
      <c r="C14" s="13" t="s">
        <v>486</v>
      </c>
      <c r="D14" s="13" t="s">
        <v>185</v>
      </c>
      <c r="E14" s="13" t="s">
        <v>186</v>
      </c>
      <c r="F14" s="13" t="s">
        <v>187</v>
      </c>
      <c r="G14" s="13" t="s">
        <v>188</v>
      </c>
      <c r="H14" s="13" t="s">
        <v>448</v>
      </c>
      <c r="I14" s="13" t="s">
        <v>487</v>
      </c>
      <c r="J14" s="13">
        <f t="shared" si="0"/>
        <v>5</v>
      </c>
      <c r="K14" s="13" t="s">
        <v>456</v>
      </c>
      <c r="L14" s="14" t="s">
        <v>451</v>
      </c>
    </row>
    <row r="15" spans="1:12" ht="30">
      <c r="A15" s="12" t="s">
        <v>488</v>
      </c>
      <c r="B15" s="13">
        <v>757</v>
      </c>
      <c r="C15" s="13" t="s">
        <v>489</v>
      </c>
      <c r="D15" s="13" t="s">
        <v>490</v>
      </c>
      <c r="E15" s="13" t="s">
        <v>186</v>
      </c>
      <c r="F15" s="13" t="s">
        <v>187</v>
      </c>
      <c r="G15" s="13" t="s">
        <v>193</v>
      </c>
      <c r="H15" s="13" t="s">
        <v>448</v>
      </c>
      <c r="I15" s="13" t="s">
        <v>491</v>
      </c>
      <c r="J15" s="13">
        <f t="shared" si="0"/>
        <v>3</v>
      </c>
      <c r="K15" s="13" t="s">
        <v>459</v>
      </c>
      <c r="L15" s="14" t="s">
        <v>451</v>
      </c>
    </row>
    <row r="16" spans="1:12" ht="30">
      <c r="A16" s="12" t="s">
        <v>196</v>
      </c>
      <c r="B16" s="13">
        <v>763</v>
      </c>
      <c r="C16" s="13" t="s">
        <v>492</v>
      </c>
      <c r="D16" s="13" t="s">
        <v>198</v>
      </c>
      <c r="E16" s="13" t="s">
        <v>186</v>
      </c>
      <c r="F16" s="13" t="s">
        <v>187</v>
      </c>
      <c r="G16" s="13" t="s">
        <v>199</v>
      </c>
      <c r="H16" s="13" t="s">
        <v>448</v>
      </c>
      <c r="I16" s="13" t="s">
        <v>493</v>
      </c>
      <c r="J16" s="13">
        <f t="shared" si="0"/>
        <v>4</v>
      </c>
      <c r="K16" s="13" t="s">
        <v>459</v>
      </c>
      <c r="L16" s="14" t="s">
        <v>451</v>
      </c>
    </row>
    <row r="17" spans="1:12" ht="30">
      <c r="A17" s="12" t="s">
        <v>213</v>
      </c>
      <c r="B17" s="13">
        <v>783</v>
      </c>
      <c r="C17" s="13" t="s">
        <v>494</v>
      </c>
      <c r="D17" s="13" t="s">
        <v>215</v>
      </c>
      <c r="E17" s="13" t="s">
        <v>211</v>
      </c>
      <c r="F17" s="13" t="s">
        <v>187</v>
      </c>
      <c r="G17" s="13" t="s">
        <v>193</v>
      </c>
      <c r="H17" s="13" t="s">
        <v>448</v>
      </c>
      <c r="I17" s="13" t="s">
        <v>495</v>
      </c>
      <c r="J17" s="13">
        <f t="shared" si="0"/>
        <v>4</v>
      </c>
      <c r="K17" s="13" t="s">
        <v>459</v>
      </c>
      <c r="L17" s="14" t="s">
        <v>451</v>
      </c>
    </row>
    <row r="18" spans="1:12" ht="30">
      <c r="A18" s="12" t="s">
        <v>496</v>
      </c>
      <c r="B18" s="13">
        <v>784</v>
      </c>
      <c r="C18" s="13" t="s">
        <v>497</v>
      </c>
      <c r="D18" s="13" t="s">
        <v>498</v>
      </c>
      <c r="E18" s="13" t="s">
        <v>211</v>
      </c>
      <c r="F18" s="13" t="s">
        <v>187</v>
      </c>
      <c r="G18" s="13" t="s">
        <v>193</v>
      </c>
      <c r="H18" s="13" t="s">
        <v>448</v>
      </c>
      <c r="I18" s="13" t="s">
        <v>499</v>
      </c>
      <c r="J18" s="13">
        <f t="shared" si="0"/>
        <v>3</v>
      </c>
      <c r="K18" s="13" t="s">
        <v>459</v>
      </c>
      <c r="L18" s="14" t="s">
        <v>451</v>
      </c>
    </row>
    <row r="19" spans="1:12" ht="30">
      <c r="A19" s="12" t="s">
        <v>500</v>
      </c>
      <c r="B19" s="13">
        <v>835</v>
      </c>
      <c r="C19" s="13" t="s">
        <v>501</v>
      </c>
      <c r="D19" s="13" t="s">
        <v>502</v>
      </c>
      <c r="E19" s="13" t="s">
        <v>211</v>
      </c>
      <c r="F19" s="13" t="s">
        <v>109</v>
      </c>
      <c r="G19" s="13" t="s">
        <v>233</v>
      </c>
      <c r="H19" s="13" t="s">
        <v>448</v>
      </c>
      <c r="I19" s="13" t="s">
        <v>503</v>
      </c>
      <c r="J19" s="13">
        <f t="shared" si="0"/>
        <v>3</v>
      </c>
      <c r="K19" s="13" t="s">
        <v>456</v>
      </c>
      <c r="L19" s="14" t="s">
        <v>451</v>
      </c>
    </row>
    <row r="20" spans="1:12" ht="30">
      <c r="A20" s="12" t="s">
        <v>504</v>
      </c>
      <c r="B20" s="13">
        <v>845</v>
      </c>
      <c r="C20" s="13" t="s">
        <v>505</v>
      </c>
      <c r="D20" s="13" t="s">
        <v>506</v>
      </c>
      <c r="E20" s="13" t="s">
        <v>239</v>
      </c>
      <c r="F20" s="13" t="s">
        <v>170</v>
      </c>
      <c r="G20" s="13" t="s">
        <v>240</v>
      </c>
      <c r="H20" s="13" t="s">
        <v>448</v>
      </c>
      <c r="I20" s="13" t="s">
        <v>507</v>
      </c>
      <c r="J20" s="13">
        <f t="shared" si="0"/>
        <v>3</v>
      </c>
      <c r="K20" s="13" t="s">
        <v>456</v>
      </c>
      <c r="L20" s="14" t="s">
        <v>451</v>
      </c>
    </row>
    <row r="21" spans="1:12" ht="45">
      <c r="A21" s="12" t="s">
        <v>264</v>
      </c>
      <c r="B21" s="13">
        <v>881</v>
      </c>
      <c r="C21" s="13" t="s">
        <v>508</v>
      </c>
      <c r="D21" s="13" t="s">
        <v>266</v>
      </c>
      <c r="E21" s="13" t="s">
        <v>262</v>
      </c>
      <c r="F21" s="13" t="s">
        <v>187</v>
      </c>
      <c r="G21" s="13" t="s">
        <v>188</v>
      </c>
      <c r="H21" s="13" t="s">
        <v>448</v>
      </c>
      <c r="I21" s="13" t="s">
        <v>509</v>
      </c>
      <c r="J21" s="13">
        <f t="shared" si="0"/>
        <v>5</v>
      </c>
      <c r="K21" s="13" t="s">
        <v>459</v>
      </c>
      <c r="L21" s="14" t="s">
        <v>451</v>
      </c>
    </row>
    <row r="22" spans="1:12" ht="30">
      <c r="A22" s="12" t="s">
        <v>510</v>
      </c>
      <c r="B22" s="13">
        <v>883</v>
      </c>
      <c r="C22" s="13" t="s">
        <v>511</v>
      </c>
      <c r="D22" s="13" t="s">
        <v>512</v>
      </c>
      <c r="E22" s="13" t="s">
        <v>262</v>
      </c>
      <c r="F22" s="13" t="s">
        <v>187</v>
      </c>
      <c r="G22" s="13" t="s">
        <v>271</v>
      </c>
      <c r="H22" s="13" t="s">
        <v>448</v>
      </c>
      <c r="I22" s="13" t="s">
        <v>513</v>
      </c>
      <c r="J22" s="13">
        <f t="shared" si="0"/>
        <v>3</v>
      </c>
      <c r="K22" s="13" t="s">
        <v>456</v>
      </c>
      <c r="L22" s="14" t="s">
        <v>451</v>
      </c>
    </row>
    <row r="23" spans="1:12" ht="30">
      <c r="A23" s="12" t="s">
        <v>514</v>
      </c>
      <c r="B23" s="13">
        <v>885</v>
      </c>
      <c r="C23" s="13" t="s">
        <v>515</v>
      </c>
      <c r="D23" s="13" t="s">
        <v>516</v>
      </c>
      <c r="E23" s="13" t="s">
        <v>262</v>
      </c>
      <c r="F23" s="13" t="s">
        <v>187</v>
      </c>
      <c r="G23" s="13" t="s">
        <v>271</v>
      </c>
      <c r="H23" s="13" t="s">
        <v>448</v>
      </c>
      <c r="I23" s="13" t="s">
        <v>517</v>
      </c>
      <c r="J23" s="13">
        <f t="shared" si="0"/>
        <v>3</v>
      </c>
      <c r="K23" s="13" t="s">
        <v>456</v>
      </c>
      <c r="L23" s="14" t="s">
        <v>451</v>
      </c>
    </row>
    <row r="24" spans="1:12" ht="30">
      <c r="A24" s="12" t="s">
        <v>518</v>
      </c>
      <c r="B24" s="13">
        <v>895</v>
      </c>
      <c r="C24" s="13" t="s">
        <v>519</v>
      </c>
      <c r="D24" s="13" t="s">
        <v>520</v>
      </c>
      <c r="E24" s="13" t="s">
        <v>262</v>
      </c>
      <c r="F24" s="13" t="s">
        <v>187</v>
      </c>
      <c r="G24" s="13" t="s">
        <v>193</v>
      </c>
      <c r="H24" s="13" t="s">
        <v>448</v>
      </c>
      <c r="I24" s="13" t="s">
        <v>521</v>
      </c>
      <c r="J24" s="13">
        <f t="shared" si="0"/>
        <v>3</v>
      </c>
      <c r="K24" s="13" t="s">
        <v>456</v>
      </c>
      <c r="L24" s="14" t="s">
        <v>451</v>
      </c>
    </row>
    <row r="25" spans="1:12" ht="30">
      <c r="A25" s="12" t="s">
        <v>522</v>
      </c>
      <c r="B25" s="13">
        <v>896</v>
      </c>
      <c r="C25" s="13" t="s">
        <v>523</v>
      </c>
      <c r="D25" s="13" t="s">
        <v>524</v>
      </c>
      <c r="E25" s="13" t="s">
        <v>262</v>
      </c>
      <c r="F25" s="13" t="s">
        <v>187</v>
      </c>
      <c r="G25" s="13" t="s">
        <v>199</v>
      </c>
      <c r="H25" s="13" t="s">
        <v>448</v>
      </c>
      <c r="I25" s="13" t="s">
        <v>525</v>
      </c>
      <c r="J25" s="13">
        <f t="shared" si="0"/>
        <v>3</v>
      </c>
      <c r="K25" s="13" t="s">
        <v>456</v>
      </c>
      <c r="L25" s="14" t="s">
        <v>451</v>
      </c>
    </row>
    <row r="26" spans="1:12" ht="30">
      <c r="A26" s="12" t="s">
        <v>526</v>
      </c>
      <c r="B26" s="13">
        <v>901</v>
      </c>
      <c r="C26" s="13" t="s">
        <v>527</v>
      </c>
      <c r="D26" s="13" t="s">
        <v>286</v>
      </c>
      <c r="E26" s="13" t="s">
        <v>262</v>
      </c>
      <c r="F26" s="13" t="s">
        <v>90</v>
      </c>
      <c r="G26" s="13" t="s">
        <v>271</v>
      </c>
      <c r="H26" s="13" t="s">
        <v>448</v>
      </c>
      <c r="I26" s="13" t="s">
        <v>528</v>
      </c>
      <c r="J26" s="13">
        <f t="shared" si="0"/>
        <v>3</v>
      </c>
      <c r="K26" s="13" t="s">
        <v>456</v>
      </c>
      <c r="L26" s="14" t="s">
        <v>451</v>
      </c>
    </row>
    <row r="27" spans="1:12" ht="30">
      <c r="A27" s="12" t="s">
        <v>289</v>
      </c>
      <c r="B27" s="13">
        <v>904</v>
      </c>
      <c r="C27" s="13" t="s">
        <v>529</v>
      </c>
      <c r="D27" s="13" t="s">
        <v>291</v>
      </c>
      <c r="E27" s="13" t="s">
        <v>262</v>
      </c>
      <c r="F27" s="13" t="s">
        <v>90</v>
      </c>
      <c r="G27" s="13" t="s">
        <v>292</v>
      </c>
      <c r="H27" s="13" t="s">
        <v>448</v>
      </c>
      <c r="I27" s="13" t="s">
        <v>530</v>
      </c>
      <c r="J27" s="13">
        <f t="shared" si="0"/>
        <v>3</v>
      </c>
      <c r="K27" s="13" t="s">
        <v>459</v>
      </c>
      <c r="L27" s="14" t="s">
        <v>451</v>
      </c>
    </row>
    <row r="28" spans="1:12" ht="30">
      <c r="A28" s="15" t="s">
        <v>295</v>
      </c>
      <c r="B28" s="16">
        <v>907</v>
      </c>
      <c r="C28" s="16" t="s">
        <v>531</v>
      </c>
      <c r="D28" s="16" t="s">
        <v>297</v>
      </c>
      <c r="E28" s="16" t="s">
        <v>262</v>
      </c>
      <c r="F28" s="16" t="s">
        <v>109</v>
      </c>
      <c r="G28" s="16" t="s">
        <v>298</v>
      </c>
      <c r="H28" s="16" t="s">
        <v>448</v>
      </c>
      <c r="I28" s="16" t="s">
        <v>532</v>
      </c>
      <c r="J28" s="16">
        <f t="shared" si="0"/>
        <v>4</v>
      </c>
      <c r="K28" s="16" t="s">
        <v>459</v>
      </c>
      <c r="L28" s="17" t="s">
        <v>451</v>
      </c>
    </row>
    <row r="29" spans="1:12">
      <c r="A29" t="s">
        <v>621</v>
      </c>
      <c r="B29">
        <v>797</v>
      </c>
      <c r="C29" t="s">
        <v>622</v>
      </c>
      <c r="D29" t="s">
        <v>623</v>
      </c>
      <c r="E29" t="s">
        <v>211</v>
      </c>
      <c r="F29" t="s">
        <v>83</v>
      </c>
      <c r="G29" t="s">
        <v>247</v>
      </c>
      <c r="H29" t="s">
        <v>448</v>
      </c>
      <c r="I29" t="s">
        <v>624</v>
      </c>
      <c r="J29">
        <v>2</v>
      </c>
      <c r="K29" t="s">
        <v>459</v>
      </c>
      <c r="L29" t="s">
        <v>625</v>
      </c>
    </row>
    <row r="30" spans="1:12">
      <c r="A30" t="s">
        <v>642</v>
      </c>
      <c r="B30">
        <v>583</v>
      </c>
      <c r="C30" t="s">
        <v>643</v>
      </c>
      <c r="D30" t="s">
        <v>644</v>
      </c>
      <c r="E30" t="s">
        <v>62</v>
      </c>
      <c r="F30" t="s">
        <v>83</v>
      </c>
      <c r="G30" t="s">
        <v>84</v>
      </c>
      <c r="H30" t="s">
        <v>448</v>
      </c>
      <c r="I30" t="s">
        <v>645</v>
      </c>
      <c r="J30">
        <v>3</v>
      </c>
      <c r="K30" t="s">
        <v>646</v>
      </c>
      <c r="L30" t="s">
        <v>647</v>
      </c>
    </row>
    <row r="31" spans="1:12">
      <c r="A31" t="s">
        <v>675</v>
      </c>
      <c r="B31">
        <v>656</v>
      </c>
      <c r="C31" t="s">
        <v>677</v>
      </c>
      <c r="D31" t="s">
        <v>679</v>
      </c>
      <c r="E31" t="s">
        <v>103</v>
      </c>
      <c r="F31" t="s">
        <v>83</v>
      </c>
      <c r="G31" t="s">
        <v>120</v>
      </c>
      <c r="H31" t="s">
        <v>448</v>
      </c>
      <c r="I31" t="s">
        <v>681</v>
      </c>
      <c r="J31">
        <v>1</v>
      </c>
      <c r="K31" t="s">
        <v>646</v>
      </c>
      <c r="L31" t="s">
        <v>683</v>
      </c>
    </row>
    <row r="32" spans="1:12">
      <c r="A32" t="s">
        <v>676</v>
      </c>
      <c r="B32">
        <v>763</v>
      </c>
      <c r="C32" t="s">
        <v>678</v>
      </c>
      <c r="D32" t="s">
        <v>680</v>
      </c>
      <c r="E32" t="s">
        <v>186</v>
      </c>
      <c r="F32" t="s">
        <v>187</v>
      </c>
      <c r="G32" t="s">
        <v>203</v>
      </c>
      <c r="H32" t="s">
        <v>448</v>
      </c>
      <c r="I32" t="s">
        <v>682</v>
      </c>
      <c r="J32">
        <v>1</v>
      </c>
      <c r="K32" t="s">
        <v>459</v>
      </c>
      <c r="L32" t="s">
        <v>684</v>
      </c>
    </row>
  </sheetData>
  <mergeCells count="1">
    <mergeCell ref="A1:L1"/>
  </mergeCells>
  <phoneticPr fontId="8" type="noConversion"/>
  <dataValidations count="1">
    <dataValidation type="list" sqref="E4:E28" xr:uid="{00000000-0002-0000-0500-000000000000}">
      <formula1>"S1,S2,S3,S4,S5,S6,S7,S8"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showGridLines="0" workbookViewId="0"/>
  </sheetViews>
  <sheetFormatPr defaultRowHeight="13.8"/>
  <cols>
    <col min="1" max="1" width="28" customWidth="1"/>
    <col min="2" max="12" width="14" customWidth="1"/>
  </cols>
  <sheetData>
    <row r="1" spans="1:12" ht="23.4">
      <c r="A1" s="29" t="s">
        <v>686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1.2">
      <c r="A3" s="22" t="s">
        <v>301</v>
      </c>
      <c r="B3" s="23" t="s">
        <v>302</v>
      </c>
      <c r="C3" s="23" t="s">
        <v>303</v>
      </c>
      <c r="D3" s="23" t="s">
        <v>304</v>
      </c>
      <c r="E3" s="23" t="s">
        <v>305</v>
      </c>
      <c r="F3" s="23" t="s">
        <v>306</v>
      </c>
      <c r="G3" s="23" t="s">
        <v>307</v>
      </c>
      <c r="H3" s="23" t="s">
        <v>308</v>
      </c>
      <c r="I3" s="23" t="s">
        <v>309</v>
      </c>
      <c r="J3" s="23" t="s">
        <v>310</v>
      </c>
      <c r="K3" s="23" t="s">
        <v>311</v>
      </c>
      <c r="L3" s="24" t="s">
        <v>533</v>
      </c>
    </row>
    <row r="4" spans="1:12" ht="15">
      <c r="A4" s="7" t="s">
        <v>313</v>
      </c>
      <c r="B4" s="7">
        <f>SUMPRODUCT(--(正式事件映射!$E$4:$E$32="S1"),--ISNUMBER(SEARCH(";T1;",";"&amp;正式事件映射!$G$4:$G$32&amp;";")))</f>
        <v>1</v>
      </c>
      <c r="C4" s="7">
        <f>SUMPRODUCT(--(正式事件映射!$E$4:$E$32="S1"),--ISNUMBER(SEARCH(";T2;",";"&amp;正式事件映射!$G$4:$G$32&amp;";")))</f>
        <v>2</v>
      </c>
      <c r="D4" s="7">
        <f>SUMPRODUCT(--(正式事件映射!$E$4:$E$32="S1"),--ISNUMBER(SEARCH(";T3;",";"&amp;正式事件映射!$G$4:$G$32&amp;";")))</f>
        <v>1</v>
      </c>
      <c r="E4" s="7">
        <f>SUMPRODUCT(--(正式事件映射!$E$4:$E$32="S1"),--ISNUMBER(SEARCH(";T4;",";"&amp;正式事件映射!$G$4:$G$32&amp;";")))</f>
        <v>2</v>
      </c>
      <c r="F4" s="7">
        <f>SUMPRODUCT(--(正式事件映射!$E$4:$E$32="S1"),--ISNUMBER(SEARCH(";T5;",";"&amp;正式事件映射!$G$4:$G$32&amp;";")))</f>
        <v>3</v>
      </c>
      <c r="G4" s="7">
        <f>SUMPRODUCT(--(正式事件映射!$E$4:$E$32="S1"),--ISNUMBER(SEARCH(";T6;",";"&amp;正式事件映射!$G$4:$G$32&amp;";")))</f>
        <v>2</v>
      </c>
      <c r="H4" s="7">
        <f>SUMPRODUCT(--(正式事件映射!$E$4:$E$32="S1"),--ISNUMBER(SEARCH(";T7;",";"&amp;正式事件映射!$G$4:$G$32&amp;";")))</f>
        <v>0</v>
      </c>
      <c r="I4" s="7">
        <f>SUMPRODUCT(--(正式事件映射!$E$4:$E$32="S1"),--ISNUMBER(SEARCH(";T8;",";"&amp;正式事件映射!$G$4:$G$32&amp;";")))</f>
        <v>2</v>
      </c>
      <c r="J4" s="7">
        <f>SUMPRODUCT(--(正式事件映射!$E$4:$E$32="S1"),--ISNUMBER(SEARCH(";T9;",";"&amp;正式事件映射!$G$4:$G$32&amp;";")))</f>
        <v>0</v>
      </c>
      <c r="K4" s="7">
        <f>SUMPRODUCT(--(正式事件映射!$E$4:$E$32="S1"),--ISNUMBER(SEARCH(";T10;",";"&amp;正式事件映射!$G$4:$G$32&amp;";")))</f>
        <v>0</v>
      </c>
      <c r="L4" s="7">
        <f>COUNTIF(正式事件映射!$E$4:$E$32,"S1")</f>
        <v>3</v>
      </c>
    </row>
    <row r="5" spans="1:12" ht="15">
      <c r="A5" s="7" t="s">
        <v>314</v>
      </c>
      <c r="B5" s="7">
        <f>SUMPRODUCT(--(正式事件映射!$E$4:$E$32="S2"),--ISNUMBER(SEARCH(";T1;",";"&amp;正式事件映射!$G$4:$G$32&amp;";")))</f>
        <v>1</v>
      </c>
      <c r="C5" s="7">
        <f>SUMPRODUCT(--(正式事件映射!$E$4:$E$32="S2"),--ISNUMBER(SEARCH(";T2;",";"&amp;正式事件映射!$G$4:$G$32&amp;";")))</f>
        <v>0</v>
      </c>
      <c r="D5" s="7">
        <f>SUMPRODUCT(--(正式事件映射!$E$4:$E$32="S2"),--ISNUMBER(SEARCH(";T3;",";"&amp;正式事件映射!$G$4:$G$32&amp;";")))</f>
        <v>1</v>
      </c>
      <c r="E5" s="7">
        <f>SUMPRODUCT(--(正式事件映射!$E$4:$E$32="S2"),--ISNUMBER(SEARCH(";T4;",";"&amp;正式事件映射!$G$4:$G$32&amp;";")))</f>
        <v>0</v>
      </c>
      <c r="F5" s="7">
        <f>SUMPRODUCT(--(正式事件映射!$E$4:$E$32="S2"),--ISNUMBER(SEARCH(";T5;",";"&amp;正式事件映射!$G$4:$G$32&amp;";")))</f>
        <v>0</v>
      </c>
      <c r="G5" s="7">
        <f>SUMPRODUCT(--(正式事件映射!$E$4:$E$32="S2"),--ISNUMBER(SEARCH(";T6;",";"&amp;正式事件映射!$G$4:$G$32&amp;";")))</f>
        <v>0</v>
      </c>
      <c r="H5" s="7">
        <f>SUMPRODUCT(--(正式事件映射!$E$4:$E$32="S2"),--ISNUMBER(SEARCH(";T7;",";"&amp;正式事件映射!$G$4:$G$32&amp;";")))</f>
        <v>0</v>
      </c>
      <c r="I5" s="7">
        <f>SUMPRODUCT(--(正式事件映射!$E$4:$E$32="S2"),--ISNUMBER(SEARCH(";T8;",";"&amp;正式事件映射!$G$4:$G$32&amp;";")))</f>
        <v>0</v>
      </c>
      <c r="J5" s="7">
        <f>SUMPRODUCT(--(正式事件映射!$E$4:$E$32="S2"),--ISNUMBER(SEARCH(";T9;",";"&amp;正式事件映射!$G$4:$G$32&amp;";")))</f>
        <v>1</v>
      </c>
      <c r="K5" s="7">
        <f>SUMPRODUCT(--(正式事件映射!$E$4:$E$32="S2"),--ISNUMBER(SEARCH(";T10;",";"&amp;正式事件映射!$G$4:$G$32&amp;";")))</f>
        <v>0</v>
      </c>
      <c r="L5" s="7">
        <f>COUNTIF(正式事件映射!$E$4:$E$32,"S2")</f>
        <v>1</v>
      </c>
    </row>
    <row r="6" spans="1:12" ht="15">
      <c r="A6" s="7" t="s">
        <v>315</v>
      </c>
      <c r="B6" s="7">
        <f>SUMPRODUCT(--(正式事件映射!$E$4:$E$32="S3"),--ISNUMBER(SEARCH(";T1;",";"&amp;正式事件映射!$G$4:$G$32&amp;";")))</f>
        <v>3</v>
      </c>
      <c r="C6" s="7">
        <f>SUMPRODUCT(--(正式事件映射!$E$4:$E$32="S3"),--ISNUMBER(SEARCH(";T2;",";"&amp;正式事件映射!$G$4:$G$32&amp;";")))</f>
        <v>3</v>
      </c>
      <c r="D6" s="7">
        <f>SUMPRODUCT(--(正式事件映射!$E$4:$E$32="S3"),--ISNUMBER(SEARCH(";T3;",";"&amp;正式事件映射!$G$4:$G$32&amp;";")))</f>
        <v>4</v>
      </c>
      <c r="E6" s="7">
        <f>SUMPRODUCT(--(正式事件映射!$E$4:$E$32="S3"),--ISNUMBER(SEARCH(";T4;",";"&amp;正式事件映射!$G$4:$G$32&amp;";")))</f>
        <v>2</v>
      </c>
      <c r="F6" s="7">
        <f>SUMPRODUCT(--(正式事件映射!$E$4:$E$32="S3"),--ISNUMBER(SEARCH(";T5;",";"&amp;正式事件映射!$G$4:$G$32&amp;";")))</f>
        <v>0</v>
      </c>
      <c r="G6" s="7">
        <f>SUMPRODUCT(--(正式事件映射!$E$4:$E$32="S3"),--ISNUMBER(SEARCH(";T6;",";"&amp;正式事件映射!$G$4:$G$32&amp;";")))</f>
        <v>0</v>
      </c>
      <c r="H6" s="7">
        <f>SUMPRODUCT(--(正式事件映射!$E$4:$E$32="S3"),--ISNUMBER(SEARCH(";T7;",";"&amp;正式事件映射!$G$4:$G$32&amp;";")))</f>
        <v>2</v>
      </c>
      <c r="I6" s="7">
        <f>SUMPRODUCT(--(正式事件映射!$E$4:$E$32="S3"),--ISNUMBER(SEARCH(";T8;",";"&amp;正式事件映射!$G$4:$G$32&amp;";")))</f>
        <v>2</v>
      </c>
      <c r="J6" s="7">
        <f>SUMPRODUCT(--(正式事件映射!$E$4:$E$32="S3"),--ISNUMBER(SEARCH(";T9;",";"&amp;正式事件映射!$G$4:$G$32&amp;";")))</f>
        <v>0</v>
      </c>
      <c r="K6" s="7">
        <f>SUMPRODUCT(--(正式事件映射!$E$4:$E$32="S3"),--ISNUMBER(SEARCH(";T10;",";"&amp;正式事件映射!$G$4:$G$32&amp;";")))</f>
        <v>0</v>
      </c>
      <c r="L6" s="7">
        <f>COUNTIF(正式事件映射!$E$4:$E$32,"S3")</f>
        <v>6</v>
      </c>
    </row>
    <row r="7" spans="1:12" ht="15">
      <c r="A7" s="7" t="s">
        <v>316</v>
      </c>
      <c r="B7" s="7">
        <f>SUMPRODUCT(--(正式事件映射!$E$4:$E$32="S4"),--ISNUMBER(SEARCH(";T1;",";"&amp;正式事件映射!$G$4:$G$32&amp;";")))</f>
        <v>1</v>
      </c>
      <c r="C7" s="7">
        <f>SUMPRODUCT(--(正式事件映射!$E$4:$E$32="S4"),--ISNUMBER(SEARCH(";T2;",";"&amp;正式事件映射!$G$4:$G$32&amp;";")))</f>
        <v>1</v>
      </c>
      <c r="D7" s="7">
        <f>SUMPRODUCT(--(正式事件映射!$E$4:$E$32="S4"),--ISNUMBER(SEARCH(";T3;",";"&amp;正式事件映射!$G$4:$G$32&amp;";")))</f>
        <v>1</v>
      </c>
      <c r="E7" s="7">
        <f>SUMPRODUCT(--(正式事件映射!$E$4:$E$32="S4"),--ISNUMBER(SEARCH(";T4;",";"&amp;正式事件映射!$G$4:$G$32&amp;";")))</f>
        <v>2</v>
      </c>
      <c r="F7" s="7">
        <f>SUMPRODUCT(--(正式事件映射!$E$4:$E$32="S4"),--ISNUMBER(SEARCH(";T5;",";"&amp;正式事件映射!$G$4:$G$32&amp;";")))</f>
        <v>1</v>
      </c>
      <c r="G7" s="7">
        <f>SUMPRODUCT(--(正式事件映射!$E$4:$E$32="S4"),--ISNUMBER(SEARCH(";T6;",";"&amp;正式事件映射!$G$4:$G$32&amp;";")))</f>
        <v>1</v>
      </c>
      <c r="H7" s="7">
        <f>SUMPRODUCT(--(正式事件映射!$E$4:$E$32="S4"),--ISNUMBER(SEARCH(";T7;",";"&amp;正式事件映射!$G$4:$G$32&amp;";")))</f>
        <v>0</v>
      </c>
      <c r="I7" s="7">
        <f>SUMPRODUCT(--(正式事件映射!$E$4:$E$32="S4"),--ISNUMBER(SEARCH(";T8;",";"&amp;正式事件映射!$G$4:$G$32&amp;";")))</f>
        <v>2</v>
      </c>
      <c r="J7" s="7">
        <f>SUMPRODUCT(--(正式事件映射!$E$4:$E$32="S4"),--ISNUMBER(SEARCH(";T9;",";"&amp;正式事件映射!$G$4:$G$32&amp;";")))</f>
        <v>1</v>
      </c>
      <c r="K7" s="7">
        <f>SUMPRODUCT(--(正式事件映射!$E$4:$E$32="S4"),--ISNUMBER(SEARCH(";T10;",";"&amp;正式事件映射!$G$4:$G$32&amp;";")))</f>
        <v>0</v>
      </c>
      <c r="L7" s="7">
        <f>COUNTIF(正式事件映射!$E$4:$E$32,"S4")</f>
        <v>2</v>
      </c>
    </row>
    <row r="8" spans="1:12" ht="15">
      <c r="A8" s="7" t="s">
        <v>317</v>
      </c>
      <c r="B8" s="7">
        <f>SUMPRODUCT(--(正式事件映射!$E$4:$E$32="S5"),--ISNUMBER(SEARCH(";T1;",";"&amp;正式事件映射!$G$4:$G$32&amp;";")))</f>
        <v>4</v>
      </c>
      <c r="C8" s="7">
        <f>SUMPRODUCT(--(正式事件映射!$E$4:$E$32="S5"),--ISNUMBER(SEARCH(";T2;",";"&amp;正式事件映射!$G$4:$G$32&amp;";")))</f>
        <v>0</v>
      </c>
      <c r="D8" s="7">
        <f>SUMPRODUCT(--(正式事件映射!$E$4:$E$32="S5"),--ISNUMBER(SEARCH(";T3;",";"&amp;正式事件映射!$G$4:$G$32&amp;";")))</f>
        <v>4</v>
      </c>
      <c r="E8" s="7">
        <f>SUMPRODUCT(--(正式事件映射!$E$4:$E$32="S5"),--ISNUMBER(SEARCH(";T4;",";"&amp;正式事件映射!$G$4:$G$32&amp;";")))</f>
        <v>2</v>
      </c>
      <c r="F8" s="7">
        <f>SUMPRODUCT(--(正式事件映射!$E$4:$E$32="S5"),--ISNUMBER(SEARCH(";T5;",";"&amp;正式事件映射!$G$4:$G$32&amp;";")))</f>
        <v>0</v>
      </c>
      <c r="G8" s="7">
        <f>SUMPRODUCT(--(正式事件映射!$E$4:$E$32="S5"),--ISNUMBER(SEARCH(";T6;",";"&amp;正式事件映射!$G$4:$G$32&amp;";")))</f>
        <v>2</v>
      </c>
      <c r="H8" s="7">
        <f>SUMPRODUCT(--(正式事件映射!$E$4:$E$32="S5"),--ISNUMBER(SEARCH(";T7;",";"&amp;正式事件映射!$G$4:$G$32&amp;";")))</f>
        <v>0</v>
      </c>
      <c r="I8" s="7">
        <f>SUMPRODUCT(--(正式事件映射!$E$4:$E$32="S5"),--ISNUMBER(SEARCH(";T8;",";"&amp;正式事件映射!$G$4:$G$32&amp;";")))</f>
        <v>4</v>
      </c>
      <c r="J8" s="7">
        <f>SUMPRODUCT(--(正式事件映射!$E$4:$E$32="S5"),--ISNUMBER(SEARCH(";T9;",";"&amp;正式事件映射!$G$4:$G$32&amp;";")))</f>
        <v>4</v>
      </c>
      <c r="K8" s="7">
        <f>SUMPRODUCT(--(正式事件映射!$E$4:$E$32="S5"),--ISNUMBER(SEARCH(";T10;",";"&amp;正式事件映射!$G$4:$G$32&amp;";")))</f>
        <v>2</v>
      </c>
      <c r="L8" s="7">
        <f>COUNTIF(正式事件映射!$E$4:$E$32,"S5")</f>
        <v>4</v>
      </c>
    </row>
    <row r="9" spans="1:12" ht="15">
      <c r="A9" s="7" t="s">
        <v>318</v>
      </c>
      <c r="B9" s="7">
        <f>SUMPRODUCT(--(正式事件映射!$E$4:$E$32="S6"),--ISNUMBER(SEARCH(";T1;",";"&amp;正式事件映射!$G$4:$G$32&amp;";")))</f>
        <v>2</v>
      </c>
      <c r="C9" s="7">
        <f>SUMPRODUCT(--(正式事件映射!$E$4:$E$32="S6"),--ISNUMBER(SEARCH(";T2;",";"&amp;正式事件映射!$G$4:$G$32&amp;";")))</f>
        <v>0</v>
      </c>
      <c r="D9" s="7">
        <f>SUMPRODUCT(--(正式事件映射!$E$4:$E$32="S6"),--ISNUMBER(SEARCH(";T3;",";"&amp;正式事件映射!$G$4:$G$32&amp;";")))</f>
        <v>4</v>
      </c>
      <c r="E9" s="7">
        <f>SUMPRODUCT(--(正式事件映射!$E$4:$E$32="S6"),--ISNUMBER(SEARCH(";T4;",";"&amp;正式事件映射!$G$4:$G$32&amp;";")))</f>
        <v>3</v>
      </c>
      <c r="F9" s="7">
        <f>SUMPRODUCT(--(正式事件映射!$E$4:$E$32="S6"),--ISNUMBER(SEARCH(";T5;",";"&amp;正式事件映射!$G$4:$G$32&amp;";")))</f>
        <v>1</v>
      </c>
      <c r="G9" s="7">
        <f>SUMPRODUCT(--(正式事件映射!$E$4:$E$32="S6"),--ISNUMBER(SEARCH(";T6;",";"&amp;正式事件映射!$G$4:$G$32&amp;";")))</f>
        <v>0</v>
      </c>
      <c r="H9" s="7">
        <f>SUMPRODUCT(--(正式事件映射!$E$4:$E$32="S6"),--ISNUMBER(SEARCH(";T7;",";"&amp;正式事件映射!$G$4:$G$32&amp;";")))</f>
        <v>0</v>
      </c>
      <c r="I9" s="7">
        <f>SUMPRODUCT(--(正式事件映射!$E$4:$E$32="S6"),--ISNUMBER(SEARCH(";T8;",";"&amp;正式事件映射!$G$4:$G$32&amp;";")))</f>
        <v>4</v>
      </c>
      <c r="J9" s="7">
        <f>SUMPRODUCT(--(正式事件映射!$E$4:$E$32="S6"),--ISNUMBER(SEARCH(";T9;",";"&amp;正式事件映射!$G$4:$G$32&amp;";")))</f>
        <v>3</v>
      </c>
      <c r="K9" s="7">
        <f>SUMPRODUCT(--(正式事件映射!$E$4:$E$32="S6"),--ISNUMBER(SEARCH(";T10;",";"&amp;正式事件映射!$G$4:$G$32&amp;";")))</f>
        <v>0</v>
      </c>
      <c r="L9" s="7">
        <f>COUNTIF(正式事件映射!$E$4:$E$32,"S6")</f>
        <v>4</v>
      </c>
    </row>
    <row r="10" spans="1:12" ht="15">
      <c r="A10" s="7" t="s">
        <v>319</v>
      </c>
      <c r="B10" s="7">
        <f>SUMPRODUCT(--(正式事件映射!$E$4:$E$32="S7"),--ISNUMBER(SEARCH(";T1;",";"&amp;正式事件映射!$G$4:$G$32&amp;";")))</f>
        <v>0</v>
      </c>
      <c r="C10" s="7">
        <f>SUMPRODUCT(--(正式事件映射!$E$4:$E$32="S7"),--ISNUMBER(SEARCH(";T2;",";"&amp;正式事件映射!$G$4:$G$32&amp;";")))</f>
        <v>1</v>
      </c>
      <c r="D10" s="7">
        <f>SUMPRODUCT(--(正式事件映射!$E$4:$E$32="S7"),--ISNUMBER(SEARCH(";T3;",";"&amp;正式事件映射!$G$4:$G$32&amp;";")))</f>
        <v>0</v>
      </c>
      <c r="E10" s="7">
        <f>SUMPRODUCT(--(正式事件映射!$E$4:$E$32="S7"),--ISNUMBER(SEARCH(";T4;",";"&amp;正式事件映射!$G$4:$G$32&amp;";")))</f>
        <v>0</v>
      </c>
      <c r="F10" s="7">
        <f>SUMPRODUCT(--(正式事件映射!$E$4:$E$32="S7"),--ISNUMBER(SEARCH(";T5;",";"&amp;正式事件映射!$G$4:$G$32&amp;";")))</f>
        <v>0</v>
      </c>
      <c r="G10" s="7">
        <f>SUMPRODUCT(--(正式事件映射!$E$4:$E$32="S7"),--ISNUMBER(SEARCH(";T6;",";"&amp;正式事件映射!$G$4:$G$32&amp;";")))</f>
        <v>0</v>
      </c>
      <c r="H10" s="7">
        <f>SUMPRODUCT(--(正式事件映射!$E$4:$E$32="S7"),--ISNUMBER(SEARCH(";T7;",";"&amp;正式事件映射!$G$4:$G$32&amp;";")))</f>
        <v>1</v>
      </c>
      <c r="I10" s="7">
        <f>SUMPRODUCT(--(正式事件映射!$E$4:$E$32="S7"),--ISNUMBER(SEARCH(";T8;",";"&amp;正式事件映射!$G$4:$G$32&amp;";")))</f>
        <v>1</v>
      </c>
      <c r="J10" s="7">
        <f>SUMPRODUCT(--(正式事件映射!$E$4:$E$32="S7"),--ISNUMBER(SEARCH(";T9;",";"&amp;正式事件映射!$G$4:$G$32&amp;";")))</f>
        <v>0</v>
      </c>
      <c r="K10" s="7">
        <f>SUMPRODUCT(--(正式事件映射!$E$4:$E$32="S7"),--ISNUMBER(SEARCH(";T10;",";"&amp;正式事件映射!$G$4:$G$32&amp;";")))</f>
        <v>1</v>
      </c>
      <c r="L10" s="7">
        <f>COUNTIF(正式事件映射!$E$4:$E$32,"S7")</f>
        <v>1</v>
      </c>
    </row>
    <row r="11" spans="1:12" ht="15">
      <c r="A11" s="7" t="s">
        <v>320</v>
      </c>
      <c r="B11" s="7">
        <f>SUMPRODUCT(--(正式事件映射!$E$4:$E$32="S8"),--ISNUMBER(SEARCH(";T1;",";"&amp;正式事件映射!$G$4:$G$32&amp;";")))</f>
        <v>8</v>
      </c>
      <c r="C11" s="7">
        <f>SUMPRODUCT(--(正式事件映射!$E$4:$E$32="S8"),--ISNUMBER(SEARCH(";T2;",";"&amp;正式事件映射!$G$4:$G$32&amp;";")))</f>
        <v>1</v>
      </c>
      <c r="D11" s="7">
        <f>SUMPRODUCT(--(正式事件映射!$E$4:$E$32="S8"),--ISNUMBER(SEARCH(";T3;",";"&amp;正式事件映射!$G$4:$G$32&amp;";")))</f>
        <v>7</v>
      </c>
      <c r="E11" s="7">
        <f>SUMPRODUCT(--(正式事件映射!$E$4:$E$32="S8"),--ISNUMBER(SEARCH(";T4;",";"&amp;正式事件映射!$G$4:$G$32&amp;";")))</f>
        <v>5</v>
      </c>
      <c r="F11" s="7">
        <f>SUMPRODUCT(--(正式事件映射!$E$4:$E$32="S8"),--ISNUMBER(SEARCH(";T5;",";"&amp;正式事件映射!$G$4:$G$32&amp;";")))</f>
        <v>0</v>
      </c>
      <c r="G11" s="7">
        <f>SUMPRODUCT(--(正式事件映射!$E$4:$E$32="S8"),--ISNUMBER(SEARCH(";T6;",";"&amp;正式事件映射!$G$4:$G$32&amp;";")))</f>
        <v>3</v>
      </c>
      <c r="H11" s="7">
        <f>SUMPRODUCT(--(正式事件映射!$E$4:$E$32="S8"),--ISNUMBER(SEARCH(";T7;",";"&amp;正式事件映射!$G$4:$G$32&amp;";")))</f>
        <v>0</v>
      </c>
      <c r="I11" s="7">
        <f>SUMPRODUCT(--(正式事件映射!$E$4:$E$32="S8"),--ISNUMBER(SEARCH(";T8;",";"&amp;正式事件映射!$G$4:$G$32&amp;";")))</f>
        <v>7</v>
      </c>
      <c r="J11" s="7">
        <f>SUMPRODUCT(--(正式事件映射!$E$4:$E$32="S8"),--ISNUMBER(SEARCH(";T9;",";"&amp;正式事件映射!$G$4:$G$32&amp;";")))</f>
        <v>6</v>
      </c>
      <c r="K11" s="7">
        <f>SUMPRODUCT(--(正式事件映射!$E$4:$E$32="S8"),--ISNUMBER(SEARCH(";T10;",";"&amp;正式事件映射!$G$4:$G$32&amp;";")))</f>
        <v>7</v>
      </c>
      <c r="L11" s="7">
        <f>COUNTIF(正式事件映射!$E$4:$E$32,"S8")</f>
        <v>8</v>
      </c>
    </row>
    <row r="12" spans="1:12" ht="15.6">
      <c r="A12" s="22" t="s">
        <v>534</v>
      </c>
      <c r="B12" s="23">
        <f>SUMPRODUCT(--ISNUMBER(SEARCH(";T1;",";"&amp;正式事件映射!$G$4:$G$32&amp;";")))</f>
        <v>20</v>
      </c>
      <c r="C12" s="23">
        <f>SUMPRODUCT(--ISNUMBER(SEARCH(";T2;",";"&amp;正式事件映射!$G$4:$G$32&amp;";")))</f>
        <v>8</v>
      </c>
      <c r="D12" s="23">
        <f>SUMPRODUCT(--ISNUMBER(SEARCH(";T3;",";"&amp;正式事件映射!$G$4:$G$32&amp;";")))</f>
        <v>22</v>
      </c>
      <c r="E12" s="23">
        <f>SUMPRODUCT(--ISNUMBER(SEARCH(";T4;",";"&amp;正式事件映射!$G$4:$G$32&amp;";")))</f>
        <v>16</v>
      </c>
      <c r="F12" s="23">
        <f>SUMPRODUCT(--ISNUMBER(SEARCH(";T5;",";"&amp;正式事件映射!$G$4:$G$32&amp;";")))</f>
        <v>5</v>
      </c>
      <c r="G12" s="23">
        <f>SUMPRODUCT(--ISNUMBER(SEARCH(";T6;",";"&amp;正式事件映射!$G$4:$G$32&amp;";")))</f>
        <v>8</v>
      </c>
      <c r="H12" s="23">
        <f>SUMPRODUCT(--ISNUMBER(SEARCH(";T7;",";"&amp;正式事件映射!$G$4:$G$32&amp;";")))</f>
        <v>3</v>
      </c>
      <c r="I12" s="23">
        <f>SUMPRODUCT(--ISNUMBER(SEARCH(";T8;",";"&amp;正式事件映射!$G$4:$G$32&amp;";")))</f>
        <v>22</v>
      </c>
      <c r="J12" s="23">
        <f>SUMPRODUCT(--ISNUMBER(SEARCH(";T9;",";"&amp;正式事件映射!$G$4:$G$32&amp;";")))</f>
        <v>15</v>
      </c>
      <c r="K12" s="23">
        <f>SUMPRODUCT(--ISNUMBER(SEARCH(";T10;",";"&amp;正式事件映射!$G$4:$G$32&amp;";")))</f>
        <v>10</v>
      </c>
      <c r="L12" s="24">
        <f>COUNTA(正式事件映射!$A$4:$A$32)</f>
        <v>29</v>
      </c>
    </row>
    <row r="13" spans="1:12" ht="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ht="15.6">
      <c r="A14" s="22" t="s">
        <v>535</v>
      </c>
      <c r="B14" s="23" t="s">
        <v>323</v>
      </c>
      <c r="C14" s="23" t="s">
        <v>324</v>
      </c>
      <c r="D14" s="24" t="s">
        <v>536</v>
      </c>
      <c r="E14" s="7"/>
      <c r="F14" s="7"/>
      <c r="G14" s="7"/>
      <c r="H14" s="7"/>
      <c r="I14" s="7"/>
      <c r="J14" s="7"/>
      <c r="K14" s="7"/>
      <c r="L14" s="7"/>
    </row>
    <row r="15" spans="1:12" ht="30">
      <c r="A15" s="7" t="s">
        <v>326</v>
      </c>
      <c r="B15" s="7">
        <v>0</v>
      </c>
      <c r="C15" s="7" t="s">
        <v>537</v>
      </c>
      <c r="D15" s="7" t="s">
        <v>538</v>
      </c>
      <c r="E15" s="7"/>
      <c r="F15" s="7"/>
      <c r="G15" s="7"/>
      <c r="H15" s="7"/>
      <c r="I15" s="7"/>
      <c r="J15" s="7"/>
      <c r="K15" s="7"/>
      <c r="L15" s="7"/>
    </row>
    <row r="16" spans="1:12" ht="30">
      <c r="A16" s="7" t="s">
        <v>329</v>
      </c>
      <c r="B16" s="7">
        <v>1</v>
      </c>
      <c r="C16" s="7" t="s">
        <v>539</v>
      </c>
      <c r="D16" s="7" t="s">
        <v>540</v>
      </c>
      <c r="E16" s="7"/>
      <c r="F16" s="7"/>
      <c r="G16" s="7"/>
      <c r="H16" s="7"/>
      <c r="I16" s="7"/>
      <c r="J16" s="7"/>
      <c r="K16" s="7"/>
      <c r="L16" s="7"/>
    </row>
    <row r="17" spans="1:12" ht="30">
      <c r="A17" s="7" t="s">
        <v>541</v>
      </c>
      <c r="B17" s="7" t="s">
        <v>333</v>
      </c>
      <c r="C17" s="7" t="s">
        <v>334</v>
      </c>
      <c r="D17" s="7" t="s">
        <v>542</v>
      </c>
      <c r="E17" s="7"/>
      <c r="F17" s="7"/>
      <c r="G17" s="7"/>
      <c r="H17" s="7"/>
      <c r="I17" s="7"/>
      <c r="J17" s="7"/>
      <c r="K17" s="7"/>
      <c r="L17" s="7"/>
    </row>
    <row r="18" spans="1:12" ht="30">
      <c r="A18" s="7" t="s">
        <v>543</v>
      </c>
      <c r="B18" s="7" t="s">
        <v>337</v>
      </c>
      <c r="C18" s="7" t="s">
        <v>544</v>
      </c>
      <c r="D18" s="7" t="s">
        <v>545</v>
      </c>
      <c r="E18" s="7"/>
      <c r="F18" s="7"/>
      <c r="G18" s="7"/>
      <c r="H18" s="7"/>
      <c r="I18" s="7"/>
      <c r="J18" s="7"/>
      <c r="K18" s="7"/>
      <c r="L18" s="7"/>
    </row>
    <row r="19" spans="1:12" ht="30">
      <c r="A19" s="7" t="s">
        <v>340</v>
      </c>
      <c r="B19" s="7" t="s">
        <v>546</v>
      </c>
      <c r="C19" s="7" t="s">
        <v>547</v>
      </c>
      <c r="D19" s="7" t="s">
        <v>548</v>
      </c>
      <c r="E19" s="7"/>
      <c r="F19" s="7"/>
      <c r="G19" s="7"/>
      <c r="H19" s="7"/>
      <c r="I19" s="7"/>
      <c r="J19" s="7"/>
      <c r="K19" s="7"/>
      <c r="L19" s="7"/>
    </row>
  </sheetData>
  <mergeCells count="1">
    <mergeCell ref="A1:L1"/>
  </mergeCells>
  <phoneticPr fontId="8" type="noConversion"/>
  <conditionalFormatting sqref="B4:K1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showGridLines="0" workbookViewId="0"/>
  </sheetViews>
  <sheetFormatPr defaultRowHeight="13.8"/>
  <cols>
    <col min="1" max="1" width="10" customWidth="1"/>
    <col min="2" max="2" width="12" customWidth="1"/>
    <col min="3" max="3" width="28" customWidth="1"/>
    <col min="4" max="4" width="14" customWidth="1"/>
    <col min="5" max="5" width="48" customWidth="1"/>
    <col min="6" max="6" width="16" customWidth="1"/>
    <col min="7" max="9" width="40" customWidth="1"/>
  </cols>
  <sheetData>
    <row r="1" spans="1:9" ht="23.4">
      <c r="A1" s="29" t="s">
        <v>626</v>
      </c>
      <c r="B1" s="29"/>
      <c r="C1" s="29"/>
      <c r="D1" s="29"/>
      <c r="E1" s="29"/>
      <c r="F1" s="29"/>
      <c r="G1" s="29"/>
      <c r="H1" s="29"/>
      <c r="I1" s="29"/>
    </row>
    <row r="2" spans="1:9" ht="15">
      <c r="A2" s="2"/>
      <c r="B2" s="2"/>
      <c r="C2" s="2"/>
      <c r="D2" s="2"/>
      <c r="E2" s="2"/>
      <c r="F2" s="2"/>
      <c r="G2" s="2"/>
      <c r="H2" s="2"/>
      <c r="I2" s="2"/>
    </row>
    <row r="3" spans="1:9" ht="31.2">
      <c r="A3" s="22" t="s">
        <v>54</v>
      </c>
      <c r="B3" s="23" t="s">
        <v>549</v>
      </c>
      <c r="C3" s="23" t="s">
        <v>550</v>
      </c>
      <c r="D3" s="23" t="s">
        <v>551</v>
      </c>
      <c r="E3" s="23" t="s">
        <v>552</v>
      </c>
      <c r="F3" s="23" t="s">
        <v>553</v>
      </c>
      <c r="G3" s="23" t="s">
        <v>554</v>
      </c>
      <c r="H3" s="23" t="s">
        <v>56</v>
      </c>
      <c r="I3" s="24" t="s">
        <v>555</v>
      </c>
    </row>
    <row r="4" spans="1:9" ht="30">
      <c r="A4" s="8">
        <v>1</v>
      </c>
      <c r="B4" s="8" t="s">
        <v>368</v>
      </c>
      <c r="C4" s="8" t="s">
        <v>306</v>
      </c>
      <c r="D4" s="8">
        <v>4</v>
      </c>
      <c r="E4" s="8" t="s">
        <v>627</v>
      </c>
      <c r="F4" s="8" t="s">
        <v>556</v>
      </c>
      <c r="G4" s="8" t="s">
        <v>628</v>
      </c>
      <c r="H4" s="8" t="s">
        <v>557</v>
      </c>
      <c r="I4" s="8" t="s">
        <v>558</v>
      </c>
    </row>
    <row r="5" spans="1:9" ht="30">
      <c r="A5" s="8">
        <v>2</v>
      </c>
      <c r="B5" s="8" t="s">
        <v>373</v>
      </c>
      <c r="C5" s="8" t="s">
        <v>308</v>
      </c>
      <c r="D5" s="8">
        <f>COUNTIF(正式事件映射!$G$4:$G$28,"*T7*")</f>
        <v>2</v>
      </c>
      <c r="E5" s="8" t="s">
        <v>559</v>
      </c>
      <c r="F5" s="8" t="s">
        <v>560</v>
      </c>
      <c r="G5" s="8" t="s">
        <v>561</v>
      </c>
      <c r="H5" s="8" t="s">
        <v>562</v>
      </c>
      <c r="I5" s="8" t="s">
        <v>563</v>
      </c>
    </row>
    <row r="6" spans="1:9" ht="30">
      <c r="A6" s="8">
        <v>3</v>
      </c>
      <c r="B6" s="8" t="s">
        <v>370</v>
      </c>
      <c r="C6" s="8" t="s">
        <v>307</v>
      </c>
      <c r="D6" s="8">
        <f>COUNTIF(正式事件映射!$G$4:$G$28,"*T6*")</f>
        <v>8</v>
      </c>
      <c r="E6" s="8" t="s">
        <v>564</v>
      </c>
      <c r="F6" s="8" t="s">
        <v>560</v>
      </c>
      <c r="G6" s="8" t="s">
        <v>565</v>
      </c>
      <c r="H6" s="8" t="s">
        <v>566</v>
      </c>
      <c r="I6" s="8" t="s">
        <v>567</v>
      </c>
    </row>
    <row r="7" spans="1:9" ht="30">
      <c r="A7" s="8">
        <v>4</v>
      </c>
      <c r="B7" s="8" t="s">
        <v>376</v>
      </c>
      <c r="C7" s="8" t="s">
        <v>309</v>
      </c>
      <c r="D7" s="8">
        <f>COUNTIF(正式事件映射!$G$4:$G$28,"*T8*")</f>
        <v>18</v>
      </c>
      <c r="E7" s="8" t="s">
        <v>568</v>
      </c>
      <c r="F7" s="8" t="s">
        <v>560</v>
      </c>
      <c r="G7" s="8" t="s">
        <v>569</v>
      </c>
      <c r="H7" s="8" t="s">
        <v>570</v>
      </c>
      <c r="I7" s="8" t="s">
        <v>571</v>
      </c>
    </row>
    <row r="8" spans="1:9" ht="15">
      <c r="A8" s="8">
        <v>5</v>
      </c>
      <c r="B8" s="8" t="s">
        <v>365</v>
      </c>
      <c r="C8" s="8" t="s">
        <v>305</v>
      </c>
      <c r="D8" s="8">
        <f>COUNTIF(正式事件映射!$G$4:$G$28,"*T4*")</f>
        <v>16</v>
      </c>
      <c r="E8" s="8" t="s">
        <v>572</v>
      </c>
      <c r="F8" s="8" t="s">
        <v>573</v>
      </c>
      <c r="G8" s="8" t="s">
        <v>574</v>
      </c>
      <c r="H8" s="8" t="s">
        <v>575</v>
      </c>
      <c r="I8" s="8" t="s">
        <v>576</v>
      </c>
    </row>
    <row r="9" spans="1:9" ht="15">
      <c r="A9" s="2"/>
      <c r="B9" s="2"/>
      <c r="C9" s="2"/>
      <c r="D9" s="2"/>
      <c r="E9" s="2"/>
      <c r="F9" s="2"/>
      <c r="G9" s="2"/>
      <c r="H9" s="2"/>
      <c r="I9" s="2"/>
    </row>
    <row r="10" spans="1:9" ht="15">
      <c r="A10" s="2"/>
      <c r="B10" s="2"/>
      <c r="C10" s="2"/>
      <c r="D10" s="2"/>
      <c r="E10" s="2"/>
      <c r="F10" s="2"/>
      <c r="G10" s="2"/>
      <c r="H10" s="2"/>
      <c r="I10" s="2"/>
    </row>
    <row r="11" spans="1:9" ht="15.6">
      <c r="A11" s="22" t="s">
        <v>577</v>
      </c>
      <c r="B11" s="23" t="s">
        <v>578</v>
      </c>
      <c r="C11" s="23" t="s">
        <v>579</v>
      </c>
      <c r="D11" s="23" t="s">
        <v>580</v>
      </c>
      <c r="E11" s="23" t="s">
        <v>581</v>
      </c>
      <c r="F11" s="24" t="s">
        <v>582</v>
      </c>
      <c r="G11" s="2"/>
      <c r="H11" s="2"/>
      <c r="I11" s="2"/>
    </row>
    <row r="12" spans="1:9" ht="30">
      <c r="A12" s="8" t="s">
        <v>583</v>
      </c>
      <c r="B12" s="8" t="s">
        <v>584</v>
      </c>
      <c r="C12" s="8" t="s">
        <v>585</v>
      </c>
      <c r="D12" s="8" t="s">
        <v>586</v>
      </c>
      <c r="E12" s="8" t="s">
        <v>587</v>
      </c>
      <c r="F12" s="8" t="s">
        <v>588</v>
      </c>
      <c r="G12" s="2"/>
      <c r="H12" s="2"/>
      <c r="I12" s="2"/>
    </row>
    <row r="13" spans="1:9" ht="30">
      <c r="A13" s="8" t="s">
        <v>589</v>
      </c>
      <c r="B13" s="8" t="s">
        <v>590</v>
      </c>
      <c r="C13" s="8" t="s">
        <v>591</v>
      </c>
      <c r="D13" s="8" t="s">
        <v>592</v>
      </c>
      <c r="E13" s="8" t="s">
        <v>593</v>
      </c>
      <c r="F13" s="8" t="s">
        <v>594</v>
      </c>
      <c r="G13" s="2"/>
      <c r="H13" s="2"/>
      <c r="I13" s="2"/>
    </row>
    <row r="14" spans="1:9" ht="45">
      <c r="A14" s="8" t="s">
        <v>595</v>
      </c>
      <c r="B14" s="8" t="s">
        <v>255</v>
      </c>
      <c r="C14" s="8" t="s">
        <v>596</v>
      </c>
      <c r="D14" s="8" t="s">
        <v>597</v>
      </c>
      <c r="E14" s="8" t="s">
        <v>598</v>
      </c>
      <c r="F14" s="8" t="s">
        <v>599</v>
      </c>
      <c r="G14" s="2"/>
      <c r="H14" s="2"/>
      <c r="I14" s="2"/>
    </row>
    <row r="15" spans="1:9" ht="45">
      <c r="A15" s="8" t="s">
        <v>600</v>
      </c>
      <c r="B15" s="8" t="s">
        <v>601</v>
      </c>
      <c r="C15" s="8" t="s">
        <v>602</v>
      </c>
      <c r="D15" s="8" t="s">
        <v>603</v>
      </c>
      <c r="E15" s="8" t="s">
        <v>604</v>
      </c>
      <c r="F15" s="8" t="s">
        <v>605</v>
      </c>
      <c r="G15" s="2"/>
      <c r="H15" s="2"/>
      <c r="I15" s="2"/>
    </row>
    <row r="16" spans="1:9" ht="30">
      <c r="A16" s="8" t="s">
        <v>606</v>
      </c>
      <c r="B16" s="8" t="s">
        <v>607</v>
      </c>
      <c r="C16" s="8" t="s">
        <v>608</v>
      </c>
      <c r="D16" s="8" t="s">
        <v>629</v>
      </c>
      <c r="E16" s="8" t="s">
        <v>630</v>
      </c>
      <c r="F16" s="8" t="s">
        <v>631</v>
      </c>
      <c r="G16" s="2"/>
      <c r="H16" s="2" t="s">
        <v>632</v>
      </c>
      <c r="I16" s="2" t="s">
        <v>633</v>
      </c>
    </row>
  </sheetData>
  <mergeCells count="1">
    <mergeCell ref="A1:I1"/>
  </mergeCells>
  <phoneticPr fontId="8" type="noConversion"/>
  <conditionalFormatting sqref="A4:A8">
    <cfRule type="colorScale" priority="1">
      <colorScale>
        <cfvo type="min"/>
        <cfvo type="percentile" val="50"/>
        <cfvo type="max"/>
        <color rgb="FFDC2626"/>
        <color rgb="FFF59E0B"/>
        <color rgb="FF16A34A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使用说明</vt:lpstr>
      <vt:lpstr>候选事件池</vt:lpstr>
      <vt:lpstr>主题覆盖矩阵</vt:lpstr>
      <vt:lpstr>类型与主题映射</vt:lpstr>
      <vt:lpstr>核证日志</vt:lpstr>
      <vt:lpstr>正式事件映射</vt:lpstr>
      <vt:lpstr>正式覆盖矩阵</vt:lpstr>
      <vt:lpstr>专题优先级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沈萌 刘</cp:lastModifiedBy>
  <dcterms:modified xsi:type="dcterms:W3CDTF">2026-08-23T06:59:42Z</dcterms:modified>
</cp:coreProperties>
</file>
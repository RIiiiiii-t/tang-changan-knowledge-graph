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05-Excel数据\03-已完成批次\"/>
    </mc:Choice>
  </mc:AlternateContent>
  <xr:revisionPtr revIDLastSave="0" documentId="8_{3F590AB1-63F7-4171-8B5D-C782750D8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填写说明" sheetId="1" r:id="rId1"/>
    <sheet name="来源表" sheetId="4" r:id="rId2"/>
    <sheet name="史料片段" sheetId="5" r:id="rId3"/>
    <sheet name="实体表" sheetId="2" r:id="rId4"/>
    <sheet name="关系表" sheetId="3" r:id="rId5"/>
    <sheet name="坐标基准" sheetId="15" r:id="rId6"/>
    <sheet name="坊功能表" sheetId="7" r:id="rId7"/>
    <sheet name="坊间空间关系" sheetId="13" r:id="rId8"/>
    <sheet name="坊内平面规则" sheetId="17" r:id="rId9"/>
    <sheet name="道路分级表" sheetId="8" r:id="rId10"/>
    <sheet name="道路轴线" sheetId="16" r:id="rId11"/>
    <sheet name="水渠表" sheetId="9" r:id="rId12"/>
    <sheet name="城门表" sheetId="10" r:id="rId13"/>
    <sheet name="尺度关系表" sheetId="11" r:id="rId14"/>
    <sheet name="功能分区规则" sheetId="12" r:id="rId15"/>
    <sheet name="研究结论表" sheetId="18" r:id="rId16"/>
    <sheet name="转换规则" sheetId="14" r:id="rId17"/>
    <sheet name="代码对照" sheetId="6" r:id="rId18"/>
    <sheet name="地形表" sheetId="19" r:id="rId19"/>
    <sheet name="重要建筑与设施表" sheetId="20" r:id="rId20"/>
    <sheet name="科普内容表" sheetId="21" r:id="rId21"/>
    <sheet name="科普依据关联" sheetId="22" r:id="rId22"/>
    <sheet name="长安城大事记表" sheetId="23" r:id="rId23"/>
  </sheets>
  <calcPr calcId="191029"/>
  <fileRecoveryPr repairLoad="1"/>
</workbook>
</file>

<file path=xl/calcChain.xml><?xml version="1.0" encoding="utf-8"?>
<calcChain xmlns="http://schemas.openxmlformats.org/spreadsheetml/2006/main">
  <c r="N203" i="11" l="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</calcChain>
</file>

<file path=xl/sharedStrings.xml><?xml version="1.0" encoding="utf-8"?>
<sst xmlns="http://schemas.openxmlformats.org/spreadsheetml/2006/main" count="3294" uniqueCount="1806">
  <si>
    <t>唐长安城知识图谱录入模板 · 三层结构版 v1.2</t>
  </si>
  <si>
    <t>用途：本文件只保存空白字段结构。数据按“基础事实—研究解释—科普表达”三层组织；正式数据另建正式数据工作簿，小型样例只用于测试。</t>
  </si>
  <si>
    <t>步骤</t>
  </si>
  <si>
    <t>操作</t>
  </si>
  <si>
    <t>产出</t>
  </si>
  <si>
    <t>必填与质量规则</t>
  </si>
  <si>
    <t>在“来源表”登记书籍、论文、考古报告、地图或数据库，每份资料一个 source_key。</t>
  </si>
  <si>
    <t>可追溯来源</t>
  </si>
  <si>
    <t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t>
  </si>
  <si>
    <t>在“史料片段”逐段保存原文；chunk_key 必须指向来源表。</t>
  </si>
  <si>
    <t>可引用原文</t>
  </si>
  <si>
    <t>在“实体表”登记坊、道路、水渠、城门、建筑、人物等通用实体。</t>
  </si>
  <si>
    <t>实体主数据</t>
  </si>
  <si>
    <t>在“关系表”登记实体之间的包含、连接、供水、方位等关系。</t>
  </si>
  <si>
    <t>图谱连线</t>
  </si>
  <si>
    <t>填写八张核心空间专题表；尺度关系和功能分区规则作为跨专题辅助表。</t>
  </si>
  <si>
    <t>空间专题数据</t>
  </si>
  <si>
    <t>尺度关系中的标准化数值使用同一单位，倍数由公式自动计算。</t>
  </si>
  <si>
    <t>可复核计算</t>
  </si>
  <si>
    <t>在“研究结论表”记录论文观点；经审核后在“科普内容表”形成公众表达，并逐条填写科普依据关联。</t>
  </si>
  <si>
    <t>研究解释与科普表达</t>
  </si>
  <si>
    <t>审核人员修改 review_status；争议数据保留，不强行合并。</t>
  </si>
  <si>
    <t>审核结论</t>
  </si>
  <si>
    <t>推荐流程：来源与片段 → 八张空间专题表/两张跨专题辅助表 → 研究结论 → 人工审核 → 科普内容与依据关联 → 生成实体关系 → 平台导入。</t>
  </si>
  <si>
    <t>三层结构与工作表总览（TC-SCHEMA-1.2）</t>
  </si>
  <si>
    <t>层级</t>
  </si>
  <si>
    <t>工作表</t>
  </si>
  <si>
    <t>主要职责</t>
  </si>
  <si>
    <t>是否人工录入</t>
  </si>
  <si>
    <t>平台去向</t>
  </si>
  <si>
    <t>说明与规则</t>
  </si>
  <si>
    <t>填写说明</t>
  </si>
  <si>
    <t>说明整体流程、必填要求和三层结构</t>
  </si>
  <si>
    <t>否</t>
  </si>
  <si>
    <t>供人工阅读</t>
  </si>
  <si>
    <t>代码对照</t>
  </si>
  <si>
    <t>保存实体类型、关系类型、状态和编号规则</t>
  </si>
  <si>
    <t>按需维护</t>
  </si>
  <si>
    <t>平台代码字典</t>
  </si>
  <si>
    <t>转换规则</t>
  </si>
  <si>
    <t>规定专题表如何生成实体与关系</t>
  </si>
  <si>
    <t>转换程序依据</t>
  </si>
  <si>
    <t>证据层</t>
  </si>
  <si>
    <t>来源表</t>
  </si>
  <si>
    <t>每份古籍、论文、报告、地图登记一条来源</t>
  </si>
  <si>
    <t>是</t>
  </si>
  <si>
    <t>Reference/Source</t>
  </si>
  <si>
    <t>史料片段</t>
  </si>
  <si>
    <t>保存可引用原文并关联来源</t>
  </si>
  <si>
    <t>EvidenceChunk</t>
  </si>
  <si>
    <t>空间专题层·地形与水文</t>
  </si>
  <si>
    <t>地形表</t>
  </si>
  <si>
    <t>录入地形单元、位置、高程、坡向和几何范围</t>
  </si>
  <si>
    <t>TerrainFeature</t>
  </si>
  <si>
    <t>水渠表</t>
  </si>
  <si>
    <t>录入水源、流向、流经和供水范围</t>
  </si>
  <si>
    <t>Canal及水系关系</t>
  </si>
  <si>
    <t>空间专题层·城门与道路</t>
  </si>
  <si>
    <t>城门表</t>
  </si>
  <si>
    <t>录入城门位置、等级、宽度及连接道路</t>
  </si>
  <si>
    <t>Gate及相关关系</t>
  </si>
  <si>
    <t>道路分级表</t>
  </si>
  <si>
    <t>录入道路实体、等级、走向、宽度和连接对象</t>
  </si>
  <si>
    <t>Road及相关关系</t>
  </si>
  <si>
    <t>空间专题层·坊市</t>
  </si>
  <si>
    <t>坊功能表</t>
  </si>
  <si>
    <t>录入108坊、功能和坊中心坐标</t>
  </si>
  <si>
    <t>Fang及HAS_FUNCTION等</t>
  </si>
  <si>
    <t>坊间空间关系</t>
  </si>
  <si>
    <t>录入坊之间的方位、相邻、隔街或隔渠关系</t>
  </si>
  <si>
    <t>空间关系</t>
  </si>
  <si>
    <t>坊内平面规则</t>
  </si>
  <si>
    <t>录入十字街、街巷等级、宅地划分等抽象规则</t>
  </si>
  <si>
    <t>LayoutRule及APPLIES_TO</t>
  </si>
  <si>
    <t>空间专题层·重要建筑</t>
  </si>
  <si>
    <t>重要建筑与设施表</t>
  </si>
  <si>
    <t>录入宫殿、寺观、官署、市场和公共设施</t>
  </si>
  <si>
    <t>Building/Market及相关关系</t>
  </si>
  <si>
    <t>基础事实层·时间</t>
  </si>
  <si>
    <t>长安城大事记表</t>
  </si>
  <si>
    <t>精选30—50个改变时代进程、都城地位或长安城市面貌的重要事件</t>
  </si>
  <si>
    <t>TimelineEvent及AFFECTS/SUPPORTED_BY关系</t>
  </si>
  <si>
    <t>跨专题辅助层</t>
  </si>
  <si>
    <t>尺度关系表</t>
  </si>
  <si>
    <t>录入两个对象间的尺度、比例和换算依据</t>
  </si>
  <si>
    <t>ScaleComparison</t>
  </si>
  <si>
    <t>功能分区规则</t>
  </si>
  <si>
    <t>录入城市功能分配的条件、结论与例外</t>
  </si>
  <si>
    <t>FunctionalZoningRule</t>
  </si>
  <si>
    <t>研究解释层</t>
  </si>
  <si>
    <t>研究结论表</t>
  </si>
  <si>
    <t>保存论文观点、论证链、限制和简短科普草稿</t>
  </si>
  <si>
    <t>InterpretiveClaim</t>
  </si>
  <si>
    <t>科普表达层</t>
  </si>
  <si>
    <t>科普内容表</t>
  </si>
  <si>
    <t>保存面向公众的问题、答案、故事和媒介版本</t>
  </si>
  <si>
    <t>PopularContent</t>
  </si>
  <si>
    <t>科普依据关联</t>
  </si>
  <si>
    <t>逐条连接科普内容与事实、结论、片段或来源</t>
  </si>
  <si>
    <t>SUPPORTED_BY关系</t>
  </si>
  <si>
    <t>通用输出层</t>
  </si>
  <si>
    <t>实体表</t>
  </si>
  <si>
    <t>汇总专题表转换得到的平台实体</t>
  </si>
  <si>
    <t>程序生成/人工复核</t>
  </si>
  <si>
    <t>平台实体导入表</t>
  </si>
  <si>
    <t>关系表</t>
  </si>
  <si>
    <t>汇总专题表转换得到的平台关系</t>
  </si>
  <si>
    <t>平台关系导入表</t>
  </si>
  <si>
    <t>辅助基准层</t>
  </si>
  <si>
    <t>坐标基准</t>
  </si>
  <si>
    <t>说明TC-PLANAR-GRID-v1的坐标方向和取值</t>
  </si>
  <si>
    <t>位置规则参考</t>
  </si>
  <si>
    <t>道路轴线</t>
  </si>
  <si>
    <t>现用于说明TC-ROAD-v1道路实体编码规则</t>
  </si>
  <si>
    <t>道路编码参考</t>
  </si>
  <si>
    <t>结构调整原则：科普内容不是历史事实；每条正式科普内容必须通过“科普依据关联”指向至少一条研究结论或基础事实，并可继续追溯来源和史料片段。</t>
  </si>
  <si>
    <t>带 * 的字段为必填；一条记录对应一行，不要合并数据区单元格。</t>
  </si>
  <si>
    <t>source_key*</t>
  </si>
  <si>
    <t>title*</t>
  </si>
  <si>
    <t>source_type*</t>
  </si>
  <si>
    <t>author</t>
  </si>
  <si>
    <t>edition</t>
  </si>
  <si>
    <t>publisher</t>
  </si>
  <si>
    <t>publication_year</t>
  </si>
  <si>
    <t>volume</t>
  </si>
  <si>
    <t>page</t>
  </si>
  <si>
    <t>identifier</t>
  </si>
  <si>
    <t>url_or_file</t>
  </si>
  <si>
    <t>quality_level*</t>
  </si>
  <si>
    <t>review_status*</t>
  </si>
  <si>
    <t>notes</t>
  </si>
  <si>
    <t>TC-REF-0207</t>
  </si>
  <si>
    <t>隋唐五代史（上、下）</t>
  </si>
  <si>
    <t>现代专著</t>
  </si>
  <si>
    <t>王仲荦</t>
  </si>
  <si>
    <t>2021年1月版</t>
  </si>
  <si>
    <t>上海人民出版社</t>
  </si>
  <si>
    <t>上、下</t>
  </si>
  <si>
    <t>EPUB无固定页码</t>
  </si>
  <si>
    <t>ISBN 9787208168428</t>
  </si>
  <si>
    <t>C:/Users/LSM/OneDrive/桌面/隋唐史/隋唐五代史 (中国断代史系列) (王仲荦) (z-library.sk, 1lib.sk, z-lib.sk).epub</t>
  </si>
  <si>
    <t>B</t>
  </si>
  <si>
    <t>待审核</t>
  </si>
  <si>
    <t>大事记候选的首轮筛选来源；后续用《资治通鉴》《旧唐书》《新唐书》核年并补充一手证据。</t>
  </si>
  <si>
    <t>TC-REF-0203</t>
  </si>
  <si>
    <t>汇评精注资治通鉴</t>
  </si>
  <si>
    <t>古籍</t>
  </si>
  <si>
    <t>（宋）司马光著；李翰文等整理</t>
  </si>
  <si>
    <t>2016年5月版（EPUB电子本）</t>
  </si>
  <si>
    <t>北京联合出版公司</t>
  </si>
  <si>
    <t>全六册</t>
  </si>
  <si>
    <t>ISBN 978-7-5502-7373-3</t>
  </si>
  <si>
    <t>C:/Users/LSM/OneDrive/桌面/隋唐史/汇评精注资治通鉴（全六册） (汇评精注资治通鉴（全六册）) (z-library.sk, 1lib.sk, z-lib.sk).epub</t>
  </si>
  <si>
    <t>用于首批大事记核年与事件过程校验；引文保留古籍原文，电子版页码不固定。</t>
  </si>
  <si>
    <t>TC-REF-0204</t>
  </si>
  <si>
    <t>旧唐书</t>
  </si>
  <si>
    <t>（后晋）刘昫等</t>
  </si>
  <si>
    <t>EPUB电子整理本；底本与点校版本待核</t>
  </si>
  <si>
    <t>epub掌上书苑（电子本元数据）</t>
  </si>
  <si>
    <t>全书</t>
  </si>
  <si>
    <t>C:/Users/LSM/OneDrive/桌面/隋唐史/旧唐书 (刘昫) (z-library.sk, 1lib.sk, z-lib.sk).epub</t>
  </si>
  <si>
    <t>用于与《资治通鉴》互校；当前电子本底本、校勘与出版信息尚待核实，正式引用前应替换或补充权威点校本。</t>
  </si>
  <si>
    <t>TC-REF-0205</t>
  </si>
  <si>
    <t>新唐书</t>
  </si>
  <si>
    <t>（宋）欧阳修、宋祁等</t>
  </si>
  <si>
    <t>C:/Users/LSM/OneDrive/桌面/隋唐史/新唐书 (欧阳修、宋祁) (z-library.sk, 1lib.sk, z-lib.sk).epub</t>
  </si>
  <si>
    <t>用于与《资治通鉴》《旧唐书》互校；当前电子本底本、校勘与出版信息尚待核实，正式引用前应替换或补充权威点校本。</t>
  </si>
  <si>
    <t>TC-REF-0206</t>
  </si>
  <si>
    <t>隋书</t>
  </si>
  <si>
    <t>（唐）魏征等</t>
  </si>
  <si>
    <t>“二十四史”EPUB电子本；具体点校版本待核</t>
  </si>
  <si>
    <t>中华书局（EPUB元数据）</t>
  </si>
  <si>
    <t>C:/Users/LSM/Downloads/【二十四史】13：隋书 (魏征) (z-library.sk, 1lib.sk, z-lib.sk).epub</t>
  </si>
  <si>
    <t>用于大兴城营建与迁都核年；另有六册扫描PDF供版面、卷次和页码复核。EPUB虽标注中华书局，但正式引用前仍须核对版权页及权威点校本。</t>
  </si>
  <si>
    <t>TC-REF-0001</t>
  </si>
  <si>
    <t>唐兩京城坊考</t>
  </si>
  <si>
    <t>徐松</t>
  </si>
  <si>
    <t>维基文库文字版</t>
  </si>
  <si>
    <t>卷一</t>
  </si>
  <si>
    <t>03-原始文献/唐两京城坊考_徐松/唐兩京城坊考.epub</t>
  </si>
  <si>
    <t>审核通过</t>
  </si>
  <si>
    <t>复用卷一至卷四整合总表既有来源；用于大明宫、兴庆宫条目，正式发布前仍需扫描版核页。</t>
  </si>
  <si>
    <t>TC-REF-0201</t>
  </si>
  <si>
    <t>唐两京城坊考·卷三</t>
  </si>
  <si>
    <t>维基文库EPUB电子文本</t>
  </si>
  <si>
    <t>卷三</t>
  </si>
  <si>
    <t>03-原始文献/唐两京城坊考_徐松/唐兩京城坊考_卷三.epub</t>
  </si>
  <si>
    <t>复用卷一至卷四整合总表既有来源；用于晋昌坊大慈恩寺及会昌废寺记载，页码待扫描版补核。</t>
  </si>
  <si>
    <t>chunk_key*</t>
  </si>
  <si>
    <t>content*</t>
  </si>
  <si>
    <t>chapter</t>
  </si>
  <si>
    <t>related_entity_keys</t>
  </si>
  <si>
    <t>evidence_type*</t>
  </si>
  <si>
    <t>confidence*</t>
  </si>
  <si>
    <t>note</t>
  </si>
  <si>
    <t>TC-CHUNK-2112</t>
  </si>
  <si>
    <t>北周静帝大定元年（公元581年）二月，杨坚代周称帝，建元开皇，建都长安（今陕西西安市西北），第二年，以长安旧城制度狭小，更在长安城东南二十余里，建造大兴城（包有今西安市和城东、南、西一带），遂移都大兴城。杨坚便是历史上的隋文帝。</t>
  </si>
  <si>
    <t>第一章 第一节 隋前期的政治与经济</t>
  </si>
  <si>
    <t>上</t>
  </si>
  <si>
    <t>EPUB part0006.html</t>
  </si>
  <si>
    <t>TC-AREA-2000;TC-AREA-0003</t>
  </si>
  <si>
    <t>现代研究</t>
  </si>
  <si>
    <t>支持582年营建并迁都大兴城。</t>
  </si>
  <si>
    <t>TC-CHUNK-2113</t>
  </si>
  <si>
    <t>李渊兵抵长安城下，会合诸军兵有二十万人，就在这年十一月，攻克了长安。李渊入据长安后，立炀帝孙代王杨侑为傀儡皇帝（隋恭帝），遥尊在江都的隋炀帝为太上皇，渊自为大丞相、唐王。隋义宁二年（公元618年）三月，炀帝在江都被杀；同年五月，李渊废黜了杨侑，自己做了皇帝，国号唐，是为唐高祖。建年号曰武德，定都长安。</t>
  </si>
  <si>
    <t>第二章 第一节 唐王朝的创建</t>
  </si>
  <si>
    <t>EPUB part0010.html</t>
  </si>
  <si>
    <t>TC-AREA-2000</t>
  </si>
  <si>
    <t>支持617—618年攻占长安、建唐并定都。</t>
  </si>
  <si>
    <t>TC-CHUNK-2114</t>
  </si>
  <si>
    <t>终于在武德九年（公元626年）六月四日，世民伏兵长安太极宫北面的玄武门，发动了“玄武门之变”，杀死建成、元吉及其诸子，迫使唐高祖立世民为皇太子；当年八月，高祖便把皇位传给世民。次年，改元贞观。</t>
  </si>
  <si>
    <t>TC-GATE-0018;TC-AREA-0001</t>
  </si>
  <si>
    <t>支持玄武门之变及权力更替。</t>
  </si>
  <si>
    <t>TC-CHUNK-2115</t>
  </si>
  <si>
    <t>到了公元690年，武则天索性改唐为周，降睿宗为皇嗣，而自为皇帝。武则天做了十五年皇帝，全部时间都住在洛阳，洛阳一时成为武周王朝的政治中心。</t>
  </si>
  <si>
    <t>第二章 第二节 唐高宗的统治与武周的改制</t>
  </si>
  <si>
    <t>EPUB part0011.html</t>
  </si>
  <si>
    <t>支持武周建立及长安政治中心地位阶段性下降。</t>
  </si>
  <si>
    <t>TC-CHUNK-2116</t>
  </si>
  <si>
    <t>六月初九日晚上，长安已经看不到由前线传来报平安的烽火，知道前线局势有了变化。六月初十日，宰相兼剑南节度使杨国忠建议出奔成都，取得了玄宗的同意。当时长安士民已惊扰奔逃，市里萧条。十三日黎明，玄宗率贵妃姊妹，皇子、公主、皇孙，宰相杨国忠、韦见素及亲近宦官、宫人，自长安西行。唐玄宗是六月十三日逃离长安的，整整过了十天，六月二十三日，长安才落入安禄山军队手中。</t>
  </si>
  <si>
    <t>第二章 第三节 开元天宝的全盛时期与安史之乱</t>
  </si>
  <si>
    <t>EPUB part0012.html</t>
  </si>
  <si>
    <t>支持756年玄宗出逃与长安陷落。</t>
  </si>
  <si>
    <t>TC-CHUNK-2117</t>
  </si>
  <si>
    <t>代宗广德元年（公元763年）十月十一日，吐蕃兵渡便桥，代宗来不及集兵，次日逃出长安，依神策军于陕州。十月十四日，吐蕃兵进入长安，拥立章怀太子孙广武王承宏为皇帝。吐蕃兵进入长安以后，剽掠府库市里，焚烧庐舍，长安城中萧然一空。士民避乱，皆入山谷。</t>
  </si>
  <si>
    <t>支持763年吐蕃占领及城市损毁。</t>
  </si>
  <si>
    <t>TC-CHUNK-2118</t>
  </si>
  <si>
    <t>建中四年（公元783年），德宗发泾原兵去关东作战。十月初二日，泾原节度使姚令言率泾原士卒五千过长安。士兵回入长安城，“喧声浩浩，不复可遏”，“百姓狼狈骇走”。这次兵变，几乎使唐王朝濒于灭亡。</t>
  </si>
  <si>
    <t>支持783年泾原兵变及其严重性。</t>
  </si>
  <si>
    <t>TC-CHUNK-2119</t>
  </si>
  <si>
    <t>初五日中午，义军前锋将柴存进入长安，金吾大将军张直方帅唐文武数十人迎黄巢于灞上。十二月十二日，黄巢即皇帝位于含元殿（大明宫正殿），国号大齐，改元金统。</t>
  </si>
  <si>
    <t>第七章 第二节 唐末农民大起义</t>
  </si>
  <si>
    <t>下</t>
  </si>
  <si>
    <t>EPUB part0033.html</t>
  </si>
  <si>
    <t>TC-AREA-2000;TC-BUILDING-2014;TC-BUILDING-2184</t>
  </si>
  <si>
    <t>争议</t>
  </si>
  <si>
    <t>支持黄巢初五入长安；其中称十二日即位，与《资治通鉴》《旧唐书》壬辰纪日不合。按十二月庚辰朔，壬辰为十三日，故即位日期暂采用十三日并保留此异文。</t>
  </si>
  <si>
    <t>TC-CHUNK-2120</t>
  </si>
  <si>
    <t>天复四年（公元904年）正月，朱温借口邠、岐兵侵逼京畿，强迫昭宗和百官、士民迁往洛阳。汴将张弘范为御营使，督兵役拆毁长安宫室、官廨、民宅，取得建筑材料，浮渭沿河而下，使长安成为丘墟。士民号哭满路，扶老携幼，月余不绝。</t>
  </si>
  <si>
    <t>第七章 第三节 唐王朝的覆亡</t>
  </si>
  <si>
    <t>EPUB part0034.html</t>
  </si>
  <si>
    <t>支持904年迁都与系统性拆毁长安。</t>
  </si>
  <si>
    <t>TC-CHUNK-2121</t>
  </si>
  <si>
    <t>梁开平元年（公元907年）四月，唐昭宣帝被迫退位，唐亡。朱温在大梁即皇帝位，是为梁太祖。国号大梁。梁废唐昭宣帝为济阴王。</t>
  </si>
  <si>
    <t>支持907年唐亡。</t>
  </si>
  <si>
    <t>TC-CHUNK-2172</t>
  </si>
  <si>
    <t>义宁元年……十一月丙辰……遂克长安。……武德元年……戊午，隋恭帝禅位于唐王。……甲子，唐王即皇帝位于太极殿。</t>
  </si>
  <si>
    <t>隋纪·恭帝义宁元年至唐纪·高祖武德元年</t>
  </si>
  <si>
    <t>卷一百八十四、卷一百八十五</t>
  </si>
  <si>
    <t>史料直述</t>
  </si>
  <si>
    <t>对应TC-TIMELINE-0002；合并保存攻克长安、受禅与即帝位三个连续节点，正式发布前核对中华书局点校本。</t>
  </si>
  <si>
    <t>TC-CHUNK-2173</t>
  </si>
  <si>
    <t>庚申，世民帅长孙无忌等入，伏兵于玄武门……世民射建成，杀之。</t>
  </si>
  <si>
    <t>唐纪·高祖武德九年</t>
  </si>
  <si>
    <t>卷一百九十一</t>
  </si>
  <si>
    <t>对应TC-TIMELINE-0003；节录玄武门之变核心经过。</t>
  </si>
  <si>
    <t>TC-CHUNK-2174</t>
  </si>
  <si>
    <t>九月……壬午，御则天数，赦天下，以唐为周，改元。</t>
  </si>
  <si>
    <t>唐纪·则天后天授元年</t>
  </si>
  <si>
    <t>卷二百四</t>
  </si>
  <si>
    <t>对应TC-TIMELINE-0004；核对改唐为周与改元节点。</t>
  </si>
  <si>
    <t>TC-CHUNK-2175</t>
  </si>
  <si>
    <t>安禄山不意上遽西幸……凡十日，乃遣孙孝哲将兵入长安……</t>
  </si>
  <si>
    <t>唐纪·肃宗至德元载</t>
  </si>
  <si>
    <t>卷二百十八</t>
  </si>
  <si>
    <t>对应TC-TIMELINE-0005；核对安史之乱中长安陷落。</t>
  </si>
  <si>
    <t>TC-CHUNK-2176</t>
  </si>
  <si>
    <t>戊寅，吐蕃入长安……剽掠府库市里，焚闾舍，长安中萧然一空。</t>
  </si>
  <si>
    <t>唐纪·代宗广德元年</t>
  </si>
  <si>
    <t>卷二百二十三</t>
  </si>
  <si>
    <t>对应TC-TIMELINE-0006；直接记载吐蕃入长安及城市破坏。</t>
  </si>
  <si>
    <t>TC-CHUNK-2177</t>
  </si>
  <si>
    <t>冬十月丙午……丁未……乃擐甲张旗鼓噪，还趣京城……贼已入城。</t>
  </si>
  <si>
    <t>唐纪·德宗建中四年</t>
  </si>
  <si>
    <t>卷二百二十八</t>
  </si>
  <si>
    <t>对应TC-TIMELINE-0007；节录泾原兵变军队返京及入城过程。</t>
  </si>
  <si>
    <t>TC-CHUNK-2178</t>
  </si>
  <si>
    <t>晡时，黄巢前锋将柴存入长安……壬辰，巢即皇帝位于含元殿，国号大齐，改元金统。</t>
  </si>
  <si>
    <t>唐纪·僖宗广明元年</t>
  </si>
  <si>
    <t>卷二百五十四</t>
  </si>
  <si>
    <t>对应TC-TIMELINE-0008；唐历广明元年十二月事件，换算公历为881年。</t>
  </si>
  <si>
    <t>TC-CHUNK-2179</t>
  </si>
  <si>
    <t>壬戌，车驾发长安……毁长安宫室百司及民间庐舍……长安自此遂丘墟矣。</t>
  </si>
  <si>
    <t>唐纪·昭宗天祐元年</t>
  </si>
  <si>
    <t>卷二百六十四</t>
  </si>
  <si>
    <t>对应TC-TIMELINE-0009；直接记载迁都与拆毁长安。</t>
  </si>
  <si>
    <t>TC-CHUNK-2180</t>
  </si>
  <si>
    <t>甲辰，唐昭宣帝降御札禅位于梁。</t>
  </si>
  <si>
    <t>后梁纪·太祖开平元年</t>
  </si>
  <si>
    <t>卷二百六十六</t>
  </si>
  <si>
    <t>对应TC-TIMELINE-0010；核对唐帝禅位于梁的政权更替过程。</t>
  </si>
  <si>
    <t>TC-CHUNK-2181</t>
  </si>
  <si>
    <t>六月癸未朔……乙未，凌晨自延秋门出……</t>
  </si>
  <si>
    <t>本纪第九·玄宗下</t>
  </si>
  <si>
    <t>卷九</t>
  </si>
  <si>
    <t>对应TC-TIMELINE-0005；《旧唐书·玄宗纪》以六月癸未朔连续纪日，乙未为六月十三日。与《资治通鉴》一致；同书《杨国忠传》作十二日凌晨，形成一日异文，暂采用十三日并保留异文待权威点校本复核。</t>
  </si>
  <si>
    <t>TC-CHUNK-2182</t>
  </si>
  <si>
    <t>十二月壬午，黄巢陷潼关……丙戌……巢陷京师。</t>
  </si>
  <si>
    <t>本纪第十·僖宗</t>
  </si>
  <si>
    <t>卷十</t>
  </si>
  <si>
    <t>对应TC-TIMELINE-0008；与唐历广明元年十二月及公历881年换算相互印证。</t>
  </si>
  <si>
    <t>TC-CHUNK-2183</t>
  </si>
  <si>
    <t>四年……四月……甲子，皇帝逊于位，徙于曹州，号济阴王。</t>
  </si>
  <si>
    <t>本纪第十·昭宗、哀帝</t>
  </si>
  <si>
    <t>对应TC-TIMELINE-0010；核对天祐四年哀帝逊位。</t>
  </si>
  <si>
    <t>TC-CHUNK-2184</t>
  </si>
  <si>
    <t>龙首山川原秀丽，卉物滋阜，卜食相土，宜建都邑，定鼎之基永固，无穷之业在斯。公私府宅，规模远近，营构资费，随事条奏。仍诏左仆射高颎、将作大匠刘龙、巨鹿郡公贺娄子干、太府少卿高龙叉等创造新都。……十二月……丙子，名新都曰大兴城。</t>
  </si>
  <si>
    <t>帝纪第二·高祖下</t>
  </si>
  <si>
    <t>卷二</t>
  </si>
  <si>
    <t>对应TC-TIMELINE-0001；证明开皇二年营建新都并命名为大兴城。省略号表示同一纪年段内非相关记事省略。</t>
  </si>
  <si>
    <t>TC-CHUNK-2185</t>
  </si>
  <si>
    <t>三年春正月庚子，将入新都，大赦天下。……三月……丙辰，雨，常服入新都。</t>
  </si>
  <si>
    <t>对应TC-TIMELINE-0001；证明正式入新都发生于开皇三年，而非开皇二年。</t>
  </si>
  <si>
    <t>TC-CHUNK-2186</t>
  </si>
  <si>
    <t>及迁都，上以恺有巧思，诏领营新都副监。高颎虽总大纲，凡所规画，皆出于恺。</t>
  </si>
  <si>
    <t>列传第三十三·宇文恺</t>
  </si>
  <si>
    <t>卷六十八</t>
  </si>
  <si>
    <t>对应TC-TIMELINE-0001；证明高颎总领大纲、宇文恺负责具体规划。卷次据《隋书》通行目录标注，仍待扫描本复核。</t>
  </si>
  <si>
    <t>TC-CHUNK-2187</t>
  </si>
  <si>
    <t>六月九日，潼关不守。十二日凌晨，上率龙武将军陈玄礼、左相韦见素、京兆尹魏方进，国忠与贵妃及亲属，拥上出延秋门。</t>
  </si>
  <si>
    <t>列传第五十六·杨国忠</t>
  </si>
  <si>
    <t>卷一百零六</t>
  </si>
  <si>
    <t>对应TC-TIMELINE-0005；该传明确写六月十二日，与本书玄宗纪及《资治通鉴》的乙未（六月十三日）相差一日，作为异文保存，不直接覆盖纪年结论。</t>
  </si>
  <si>
    <t>TC-CHUNK-2188</t>
  </si>
  <si>
    <t>辛卯，蕃将火拔归仁执哥舒翰叛降于安禄山，遂陷潼关、上洛郡。甲午，诏亲征。……丙申，行在望贤宫。丁酉，次马嵬。</t>
  </si>
  <si>
    <t>本纪第五·玄宗</t>
  </si>
  <si>
    <t>卷五</t>
  </si>
  <si>
    <t>对应TC-TIMELINE-0005；《新唐书》省略乙未离京的直接表述，但甲午、丙申、丁酉的连续纪事与六月十三日离京、十四日到马嵬的顺序相合。</t>
  </si>
  <si>
    <t>TC-CHUNK-2189</t>
  </si>
  <si>
    <t>冬十月辛巳，至长乐宫，有众二十万。……十一月丙辰，攻拔京城。</t>
  </si>
  <si>
    <t>本纪第一·高祖</t>
  </si>
  <si>
    <t>对应TC-TIMELINE-0002；证明义宁元年十一月丙辰攻克长安。</t>
  </si>
  <si>
    <t>TC-CHUNK-2190</t>
  </si>
  <si>
    <t>五月戊午，隋帝诏……逊于旧邸。改大兴殿为太极殿。甲子，高祖即皇帝位于太极殿……改隋义宁二年为唐武德元年。</t>
  </si>
  <si>
    <t>对应TC-TIMELINE-0002；证明隋帝逊位、李渊即位、改元及宫殿名转换。</t>
  </si>
  <si>
    <t>TC-CHUNK-2191</t>
  </si>
  <si>
    <t>五月……戊午，隋帝逊于位，以刑部尚书萧造、司农少卿裴之隐奉皇帝玺绂于唐王，三让乃受。武德元年五月甲子，即皇帝位于太极殿。</t>
  </si>
  <si>
    <t>对应TC-TIMELINE-0002；《新唐书》交叉印证受禅与即位日期。</t>
  </si>
  <si>
    <t>TC-CHUNK-2192</t>
  </si>
  <si>
    <t>九年，皇太子建成、齐王元吉谋害太宗。六月四日，太宗率长孙无忌、尉迟敬德、房玄龄、杜如晦等于玄武门诛之。……八月癸亥，高祖传位于皇太子。</t>
  </si>
  <si>
    <t>本纪第二·太宗上</t>
  </si>
  <si>
    <t>对应TC-TIMELINE-0003；明确记载武德九年六月初四及太极宫玄武门。</t>
  </si>
  <si>
    <t>TC-CHUNK-2193</t>
  </si>
  <si>
    <t>九年……六月……庚申，秦王世民杀皇太子建成、齐王元吉。……癸亥，立秦王世民为皇太子，听政。……八月……甲子，皇太子即皇帝位。</t>
  </si>
  <si>
    <t>对应TC-TIMELINE-0003；交叉印证政变、立太子和即位三个阶段。</t>
  </si>
  <si>
    <t>TC-CHUNK-2194</t>
  </si>
  <si>
    <t>九月九日壬午，革唐命，改国号为周。改元为天授，大赦天下。……降皇帝为皇嗣。丙戌，初立武氏七庙于神都。</t>
  </si>
  <si>
    <t>本纪第六·则天皇后</t>
  </si>
  <si>
    <t>卷六</t>
  </si>
  <si>
    <t>对应TC-TIMELINE-0004；明确改周、改元及神都政治中心信息。</t>
  </si>
  <si>
    <t>TC-CHUNK-2195</t>
  </si>
  <si>
    <t>九月……壬午，改国号周。大赦，改元……乙酉，加尊号曰圣神皇帝，降皇帝为皇嗣……丙戌，立武氏七庙于神都。</t>
  </si>
  <si>
    <t>本纪第四·则天皇后</t>
  </si>
  <si>
    <t>卷四</t>
  </si>
  <si>
    <t>对应TC-TIMELINE-0004；《新唐书》交叉印证武周建立及神都地位。</t>
  </si>
  <si>
    <t>TC-CHUNK-2196</t>
  </si>
  <si>
    <t>戊寅，吐蕃入京师，立广武王承宏为帝……庚寅，子仪收京城。</t>
  </si>
  <si>
    <t>本纪第十一·代宗</t>
  </si>
  <si>
    <t>卷十一</t>
  </si>
  <si>
    <t>对应TC-TIMELINE-0006；明确吐蕃入京及郭子仪收复京城。</t>
  </si>
  <si>
    <t>TC-CHUNK-2197</t>
  </si>
  <si>
    <t>十月……丙子，如陕州……戊寅，吐蕃陷京师，立广武郡王承宏为皇帝。……癸巳，吐蕃溃，郭子仪复京师。</t>
  </si>
  <si>
    <t>本纪第六·代宗</t>
  </si>
  <si>
    <t>对应TC-TIMELINE-0006；交叉印证失守、拥立与收复过程。</t>
  </si>
  <si>
    <t>TC-CHUNK-2198</t>
  </si>
  <si>
    <t>冬十月丙午，诏泾原节度使姚令言率泾原之师救哥舒曜。丁未，泾原军出京城，至浐水，倒戈谋叛……乱兵已陈于丹凤阙下……戊申，至奉天。</t>
  </si>
  <si>
    <t>本纪第十二·德宗上</t>
  </si>
  <si>
    <t>卷十二</t>
  </si>
  <si>
    <t>对应TC-TIMELINE-0007；明确泾原军兵变、进逼宫城及德宗出逃。</t>
  </si>
  <si>
    <t>TC-CHUNK-2199</t>
  </si>
  <si>
    <t>十月，泾原节度使姚令言反，犯京师。戊申，如奉天。硃泚反。</t>
  </si>
  <si>
    <t>本纪第七·德宗</t>
  </si>
  <si>
    <t>卷七</t>
  </si>
  <si>
    <t>对应TC-TIMELINE-0007；《新唐书》交叉印证兵变与德宗出奔。</t>
  </si>
  <si>
    <t>TC-CHUNK-2200</t>
  </si>
  <si>
    <t>十二月庚辰朔……甲申……是日晡晚，贼入京城……壬辰，黄巢据大内，僭号大齐，称年号金统。</t>
  </si>
  <si>
    <t>本纪第十九下·僖宗</t>
  </si>
  <si>
    <t>卷十九下</t>
  </si>
  <si>
    <t>对应TC-TIMELINE-0008；庚辰朔推甲申为初五、壬辰为十三日，区分入城与即位。</t>
  </si>
  <si>
    <t>TC-CHUNK-2201</t>
  </si>
  <si>
    <t>陷京师，入自春明门，升太极殿……巢斋太清宫，卜日舍含元殿，僭即位，号大齐……建元为金统。</t>
  </si>
  <si>
    <t>列传第一百五十下·逆臣下·黄巢</t>
  </si>
  <si>
    <t>卷二百二十五下</t>
  </si>
  <si>
    <t>对应TC-TIMELINE-0008；补充入城门、太极殿及含元殿等空间节点。</t>
  </si>
  <si>
    <t>TC-CHUNK-2202</t>
  </si>
  <si>
    <t>天祐元年春正月……己酉，全忠率师屯河中，遣牙将寇彦卿奉表请车驾迁都洛阳。全忠令长安居人按籍迁居，彻屋木，自渭浮河而下，连甍号哭，月余不息。……丁巳，车驾发京师。</t>
  </si>
  <si>
    <t>本纪第二十上·昭宗</t>
  </si>
  <si>
    <t>卷二十上</t>
  </si>
  <si>
    <t>对应TC-TIMELINE-0009；直接记载强迫迁都、居民迁徙和拆屋运材。</t>
  </si>
  <si>
    <t>TC-CHUNK-2203</t>
  </si>
  <si>
    <t>甲子，行事。册曰……今遣……张文蔚等，奉皇帝宝绶，敬逊于位。……全忠建国，奉帝为济阴王，迁于曹州。</t>
  </si>
  <si>
    <t>本纪第二十下·哀帝</t>
  </si>
  <si>
    <t>卷二十下</t>
  </si>
  <si>
    <t>对应TC-TIMELINE-0010；区分三月禅位御札与四月甲子正式行礼、后梁建立。</t>
  </si>
  <si>
    <t>TC-CHUNK-2204</t>
  </si>
  <si>
    <t>貞觀二十二年十二月二十四日，高宗在春宮，為文德皇后立為寺，故以慈恩為名……寺西院，浮圖六級，崇三百尺。永徽三年，沙門玄奘所立。</t>
  </si>
  <si>
    <t>卷三·晋昌坊</t>
  </si>
  <si>
    <t>TC-BUILDING-2702</t>
  </si>
  <si>
    <t>对应TC-TIMELINE-0011；支持648年建大慈恩寺、652年玄奘建塔。</t>
  </si>
  <si>
    <t>TC-CHUNK-2205</t>
  </si>
  <si>
    <t>高宗在宫，为文德太后追福，造慈恩寺及翻经院，内出大幡，敕九部乐及京城诸寺幡盖众伎，送玄奘及所翻经像、诸高僧等入住慈恩寺。</t>
  </si>
  <si>
    <t>列传第一百四十一·方伎·玄奘</t>
  </si>
  <si>
    <t>对应TC-TIMELINE-0011；补充国家营建、译经院和玄奘入住。</t>
  </si>
  <si>
    <t>TC-CHUNK-2206</t>
  </si>
  <si>
    <t>东内曰大明宫，在西内之东北，高宗龙朔二年置。正门曰丹凤，正殿曰含元……高宗已后，天子常居东内。</t>
  </si>
  <si>
    <t>志第十九·地理二·京兆府</t>
  </si>
  <si>
    <t>卷三十八</t>
  </si>
  <si>
    <t>TC-BUILDING-2014</t>
  </si>
  <si>
    <t>对应TC-TIMELINE-0012；支持662年大明宫营建阶段及此后成为皇帝常居政治中心。</t>
  </si>
  <si>
    <t>TC-CHUNK-2207</t>
  </si>
  <si>
    <t>貞觀八年置為永安宮，次年改大明宮，備太上皇清暑。龍朔二年，高宗病風痹，以宮內湫濕，命司農少卿梁孝仁修之，改名蓬萊宮。</t>
  </si>
  <si>
    <t>卷一·大明宫</t>
  </si>
  <si>
    <t>对应TC-TIMELINE-0012；区分634—635年初建与662年大规模修建。</t>
  </si>
  <si>
    <t>TC-CHUNK-2208</t>
  </si>
  <si>
    <t>以兴庆里旧邸为兴庆宫。</t>
  </si>
  <si>
    <t>本纪第八·玄宗上</t>
  </si>
  <si>
    <t>卷八</t>
  </si>
  <si>
    <t>TC-BUILDING-2270;TC-FANG-0004</t>
  </si>
  <si>
    <t>对应TC-TIMELINE-0013；开元二年记兴庆旧邸改宫。</t>
  </si>
  <si>
    <t>TC-CHUNK-2209</t>
  </si>
  <si>
    <t>十六年春正月庚子，始听政于兴庆宫。</t>
  </si>
  <si>
    <t>TC-BUILDING-2270</t>
  </si>
  <si>
    <t>对应TC-TIMELINE-0013；支持728年兴庆宫开始承担听政功能。</t>
  </si>
  <si>
    <t>TC-CHUNK-2210</t>
  </si>
  <si>
    <t>開元二年置宮，因本坊為名。十四年，又取永嘉、勝業兩坊之半增廣之，置朝堂。十六年正月，以宮成御朝。</t>
  </si>
  <si>
    <t>卷一·兴庆宫</t>
  </si>
  <si>
    <t>TC-BUILDING-2270;TC-FANG-0003;TC-FANG-0004;TC-FANG-0015</t>
  </si>
  <si>
    <t>对应TC-TIMELINE-0013；串联714年置宫、726年扩坊和728年听政。</t>
  </si>
  <si>
    <t>TC-CHUNK-2211</t>
  </si>
  <si>
    <t>敕上都、东都两街各留二寺，每寺留僧三十人……余僧及尼并大秦穆护、祆僧皆勒归俗。寺非应留者，立期令所在毁撤……八月壬午……凡天下所毁寺四千六百余区，归俗僧尼二十六万五百人。</t>
  </si>
  <si>
    <t>唐纪·武宗会昌五年</t>
  </si>
  <si>
    <t>卷二百四十八</t>
  </si>
  <si>
    <t>对应TC-TIMELINE-0014；直接说明两京留寺、人员还俗、寺产与材料处置。</t>
  </si>
  <si>
    <t>TC-CHUNK-2212</t>
  </si>
  <si>
    <t>八月壬午，大毁佛寺，复僧尼为民。</t>
  </si>
  <si>
    <t>本纪第八·武宗</t>
  </si>
  <si>
    <t>对应TC-TIMELINE-0014；核定会昌五年八月壬午政策节点。</t>
  </si>
  <si>
    <t>TC-CHUNK-2213</t>
  </si>
  <si>
    <t>會昌五年，詔天下廢寺，上都每街各留寺兩所，僧各三十人。左街留慈恩、薦福，右街留西明、莊嚴。</t>
  </si>
  <si>
    <t>对应TC-TIMELINE-0014；落实会昌毁佛在长安街区的寺院保留格局。</t>
  </si>
  <si>
    <t>TC-CHUNK-2214</t>
  </si>
  <si>
    <t>隋主以渭水多沙，深浅不常，漕者苦之，六月壬子，诏太子左庶子宇文恺帅水工凿渠，引渭水，自大兴城东至潼关三百余里，名曰广通渠。漕运通利，关内赖之。</t>
  </si>
  <si>
    <t>隋纪·文帝开皇四年</t>
  </si>
  <si>
    <t>卷一百七十六</t>
  </si>
  <si>
    <t>对应TC-TIMELINE-0015；核定开皇四年六月开凿广通渠、渠线起讫及其漕运效益。总表尚未确认广通渠稳定实体编号，暂不新建实体。</t>
  </si>
  <si>
    <t>TC-CHUNK-2215</t>
  </si>
  <si>
    <t>二月甲寅，复国号，依旧为唐。社稷、宗庙、陵寝、郊祀、行军旗帜、服色、天地、日月、寺宇、台阁、官名，并依永淳已前故事。神都依旧为东都。</t>
  </si>
  <si>
    <t>本纪第七·中宗</t>
  </si>
  <si>
    <t>对应TC-TIMELINE-0016；核定神龙元年二月复唐，并将神都恢复为东都。</t>
  </si>
  <si>
    <t>TC-CHUNK-2216</t>
  </si>
  <si>
    <t>冬十月己卯，车驾发东都；戊戌，车驾至西京。十一月乙巳，赦天下。</t>
  </si>
  <si>
    <t>唐纪·中宗神龙二年</t>
  </si>
  <si>
    <t>卷二百八</t>
  </si>
  <si>
    <t>对应TC-TIMELINE-0016；核定神龙二年十月中宗车驾离开东都并抵达西京。</t>
  </si>
  <si>
    <t>TC-CHUNK-2217</t>
  </si>
  <si>
    <t>冬十月己卯，车驾还京师。戊戌，至自东都。十一月乙巳，大赦天下。</t>
  </si>
  <si>
    <t>对应TC-TIMELINE-0016；与《资治通鉴》互证神龙二年十月返回长安。</t>
  </si>
  <si>
    <t>TC-CHUNK-2218</t>
  </si>
  <si>
    <t>九月……壬寅，与贼将安守忠、李归仁等战于香积寺西北，贼军大败，斩首六万级，贼帅张通儒弃京城东走。癸卯，广平王收西京。</t>
  </si>
  <si>
    <t>本纪第十·肃宗</t>
  </si>
  <si>
    <t>对应TC-TIMELINE-0017；核定至德二载九月壬寅香积寺之战、癸卯收复西京。</t>
  </si>
  <si>
    <t>TC-CHUNK-2219</t>
  </si>
  <si>
    <t>至德二载九月……屯于香积寺。败贼将安守忠，斩首六万级。贼将张通儒守长安，闻守忠败，弃城走，遂克京城，乃留思礼屯于苑中。</t>
  </si>
  <si>
    <t>本纪第七·代宗</t>
  </si>
  <si>
    <t>对应TC-TIMELINE-0017；补充香积寺之战、张通儒弃城和官军入城后的驻守安排。</t>
  </si>
  <si>
    <t>TC-CHUNK-2220</t>
  </si>
  <si>
    <t>十月……丁卯，入长安。士庶涕泣拜忭曰：“不图复见吾君！”上亦为之感恻。九庙为贼所焚，上素服哭于庙三日，入居大明宫。</t>
  </si>
  <si>
    <t>TC-AREA-2000;TC-AREA-0003;TC-BUILDING-2014</t>
  </si>
  <si>
    <t>对应TC-TIMELINE-0017；说明肃宗返京、居民反应、宗庙毁坏及朝廷迁入大明宫，支持城市恢复影响。</t>
  </si>
  <si>
    <t>TC-CHUNK-2221</t>
  </si>
  <si>
    <t>戊戌，晟陈兵于光泰门外……官军追斩，不可胜计。朱泚、姚令言、张庭芝尚有众万人，相率遁走。</t>
  </si>
  <si>
    <t>唐纪·德宗兴元元年</t>
  </si>
  <si>
    <t>卷二百三十</t>
  </si>
  <si>
    <t>对应TC-TIMELINE-0018；核定五月戊戌自光泰门、苑北进攻及朱泚出逃。</t>
  </si>
  <si>
    <t>TC-CHUNK-2222</t>
  </si>
  <si>
    <t>二十八日……大军分道并入……是日，晟军入京城，勒兵屯于含元殿前……五日内不得辄通家信……告喻百姓，居人安堵，秋毫无所犯。</t>
  </si>
  <si>
    <t>列传第八十三·李晟</t>
  </si>
  <si>
    <t>卷一百三十三</t>
  </si>
  <si>
    <t>TC-AREA-2000;TC-AREA-0003;TC-BUILDING-2184</t>
  </si>
  <si>
    <t>对应TC-TIMELINE-0018；说明收复日期、入城路线、含元殿驻军及保护居民秩序。</t>
  </si>
  <si>
    <t>TC-CHUNK-2223</t>
  </si>
  <si>
    <t>晟收复京城。是日，浑瑊与戴休颜亦破贼三千于咸阳……</t>
  </si>
  <si>
    <t>对应TC-TIMELINE-0018；本纪直接记李晟收复京城。</t>
  </si>
  <si>
    <t>TC-CHUNK-2224</t>
  </si>
  <si>
    <t>百官退，班于含元殿……宦者既去……士良等命左、右神策副使各帅禁兵五百人，露刃出阁门讨贼……诸司吏卒及民酤贩在中者皆死，死者又千余人，横尸流血，狼籍涂地。</t>
  </si>
  <si>
    <t>唐纪·文宗太和九年</t>
  </si>
  <si>
    <t>卷二百四十五</t>
  </si>
  <si>
    <t>TC-BUILDING-2014;TC-BUILDING-2184;TC-AREA-2000</t>
  </si>
  <si>
    <t>对应TC-TIMELINE-0019；记录含元殿、左金吾仗、神策军出动及宫城内外大规模杀戮。</t>
  </si>
  <si>
    <t>TC-CHUNK-2225</t>
  </si>
  <si>
    <t>李训、郑注谋诛内官，诈言金吾仗舍石榴树有甘露，请上观之。内官先至金吾仗，见幕下伏甲，遽扶帝辇入内，故训等败，流血涂地。京师大骇，旬日稍安。</t>
  </si>
  <si>
    <t>本纪第十七下·文宗下</t>
  </si>
  <si>
    <t>卷十七下</t>
  </si>
  <si>
    <t>TC-BUILDING-2014;TC-AREA-2000</t>
  </si>
  <si>
    <t>对应TC-TIMELINE-0019；概括甘露之变失败及京师震动。</t>
  </si>
  <si>
    <t>TC-CHUNK-2226</t>
  </si>
  <si>
    <t>是日，京师兵剽劫未止，民乘乱，往往复私怨，相戕击，人死甚众。帝遣杨镇、靳遂良等屯兵大衢，鼓而儆之，兵乃止。</t>
  </si>
  <si>
    <t>列传第一百四十三·李训郑注等</t>
  </si>
  <si>
    <t>卷一百七十九</t>
  </si>
  <si>
    <t>对应TC-TIMELINE-0019；补充事件扩散到长安街衢及居民伤亡。</t>
  </si>
  <si>
    <t>TC-CHUNK-2227</t>
  </si>
  <si>
    <t>李克用与忠武将庞从、河中将白志迁等引兵先进，与黄巢军战于渭南，一日三战，皆捷……克用等自光泰门入京师，黄巢力战不胜，焚宫室遁去。贼死及降者甚众，官军暴掠，无异于贼，长安室屋及民所存无几。</t>
  </si>
  <si>
    <t>唐纪·僖宗中和三年</t>
  </si>
  <si>
    <t>卷二百五十五</t>
  </si>
  <si>
    <t>对应TC-TIMELINE-0020；记录官军入城、黄巢撤退、焚毁与官军暴掠造成的城市损失。</t>
  </si>
  <si>
    <t>TC-CHUNK-2228</t>
  </si>
  <si>
    <t>四月……己卯，黄巢收其残众，由蓝田关而遁。庚辰，收复京城。</t>
  </si>
  <si>
    <t>对应TC-TIMELINE-0020；核定中和三年四月黄巢退出及京城收复。</t>
  </si>
  <si>
    <t>TC-CHUNK-2229</t>
  </si>
  <si>
    <t>四月……诸节度兵皆奋，无敢后，入自光泰门。克用身决战……贼崩溃……巢夜奔……出蓝田，入商山。</t>
  </si>
  <si>
    <t>对应TC-TIMELINE-0020；补充光泰门入城、黄巢由蓝田退入商山的空间路线。</t>
  </si>
  <si>
    <t>TC-CHUNK-2230</t>
  </si>
  <si>
    <t>关中久雨谷贵，上将幸东都，召京兆尹裴耀卿谋之。耀卿请于河口、三门东西置仓，节级转漕，以实关中，上深然其言。</t>
  </si>
  <si>
    <t>唐纪·玄宗开元二十一年</t>
  </si>
  <si>
    <t>卷二百一十三</t>
  </si>
  <si>
    <t>对应TC-TIMELINE-0021；记载京师粮价危机与裴耀卿漕运、仓储对策。</t>
  </si>
  <si>
    <t>TC-CHUNK-2231</t>
  </si>
  <si>
    <t>是岁，关中久雨害稼，京师饥，诏出太仓米二百万石给之。</t>
  </si>
  <si>
    <t>对应TC-TIMELINE-0021；明确记载开元二十一年京师饥及太仓赈给。</t>
  </si>
  <si>
    <t>TC-CHUNK-2232</t>
  </si>
  <si>
    <t>二十一年，耀卿为京兆尹，京师雨水，谷踊贵。玄宗将幸东都，复问耀卿漕事，耀卿因请罢陕陆运，于河口、三门东西置仓，节级转运入渭，以实关中。</t>
  </si>
  <si>
    <t>志第三十·食货三</t>
  </si>
  <si>
    <t>卷五十三</t>
  </si>
  <si>
    <t>对应TC-TIMELINE-0021；交叉印证京师雨灾、粮价上涨与漕运仓储改革。</t>
  </si>
  <si>
    <t>TC-CHUNK-2233</t>
  </si>
  <si>
    <t>十一月，京师震恐。田令孜遣朱玫、李昌符等军屯沙苑，王重荣与李克用兵至。十二月合战，玫、昌符大败，溃军所过焚掠；克用进逼京城，乙亥夜，令孜奉天子自开远门出幸凤翔。</t>
  </si>
  <si>
    <t>唐纪·僖宗中和五年</t>
  </si>
  <si>
    <t>卷二百五十六</t>
  </si>
  <si>
    <t>TC-AREA-2000;TC-AREA-0003;TC-GATE-0012</t>
  </si>
  <si>
    <t>对应TC-TIMELINE-0022；记录沙苑之战、京畿焚掠及僖宗出开远门。</t>
  </si>
  <si>
    <t>TC-CHUNK-2234</t>
  </si>
  <si>
    <t>十二月，官军败，神策军入京肆掠，乙亥，沙陀逼京，田令孜奉僖宗出幸凤翔。黄巢之乱后宫室、市里十焚六七，略经修缮，乱兵复焚，宫阙萧条，鞠为茂草。</t>
  </si>
  <si>
    <t>对应TC-TIMELINE-0022；直述乱兵再度焚掠以及宫室、市里毁坏。</t>
  </si>
  <si>
    <t>TC-CHUNK-2235</t>
  </si>
  <si>
    <t>田令孜议讨王重荣，以兵属玫，合鄯、延、灵、夏军三万保沙苑。……既战，玫辄北，因纵军还掠。僖宗苍黄幸凤翔避其锋。……令孜劫乘舆走陈仓，遂至兴元。玫追不及，劫嗣襄王煴，奉为帝。</t>
  </si>
  <si>
    <t>列传第一百七十下·逆臣下·朱玫</t>
  </si>
  <si>
    <t>对应TC-TIMELINE-0022；原文摘录僖宗连续迁徙及朱玫奉李煴为帝的分裂局面。</t>
  </si>
  <si>
    <t>TC-CHUNK-2236</t>
  </si>
  <si>
    <t>王行瑜与李茂贞、韩建各将精兵数千入朝。甲子，至京师，坊市民皆窜匿。三帅杀韦昭度、李谿等，并曾谋废上。</t>
  </si>
  <si>
    <t>唐纪·昭宗乾宁二年</t>
  </si>
  <si>
    <t>卷二百六十</t>
  </si>
  <si>
    <t>对应TC-TIMELINE-0023；记录三镇军队入城、坊市居民逃避及杀害大臣。</t>
  </si>
  <si>
    <t>TC-CHUNK-2237</t>
  </si>
  <si>
    <t>上闻乱，登承天楼，欲谕止之。……矢拂御衣，著于楼桁，左右扶上下楼；继鹏复纵火焚宫门，烟炎蔽天。……城中大乱，互相剽掠。……上……出启夏门，趣南山，宿莎城镇。士民追从车驾者数十万人，比至谷口，暵死者三分之一。</t>
  </si>
  <si>
    <t>对应TC-TIMELINE-0023；原文摘录宫门纵火、城内剽掠和大规模士民随驾逃难。</t>
  </si>
  <si>
    <t>TC-CHUNK-2238</t>
  </si>
  <si>
    <t>五月甲子，王行瑜、韩建及李茂贞犯京师，杀韦昭度、李谿。七月，神策军反，昭宗行在莎城；八月辛亥，至自石门。</t>
  </si>
  <si>
    <t>本纪第十·昭宗</t>
  </si>
  <si>
    <t>对应TC-TIMELINE-0023；交叉印证三镇犯京、昭宗出奔及返京。</t>
  </si>
  <si>
    <t>TC-CHUNK-2239</t>
  </si>
  <si>
    <t>李茂贞引兵逼京畿，官军败绩。昭宗离开长安，七月至华州，茂贞遂入长安，自中和以来所葺宫室、市肆，燔烧俱尽。</t>
  </si>
  <si>
    <t>唐纪·昭宗乾宁三年</t>
  </si>
  <si>
    <t>对应TC-TIMELINE-0024；直述李茂贞入长安及宫室、市肆再度被焚尽。</t>
  </si>
  <si>
    <t>TC-CHUNK-2240</t>
  </si>
  <si>
    <t>乾宁三年六月，李茂贞犯京师，官军战于娄馆败绩；七月，昭宗行在渭北，继而至华州。</t>
  </si>
  <si>
    <t>对应TC-TIMELINE-0024；交叉印证娄馆战败、昭宗离京和华州行在。</t>
  </si>
  <si>
    <t>TC-CHUNK-2241</t>
  </si>
  <si>
    <t>三年，李茂贞犯京师，扈昭宗幸华州。</t>
  </si>
  <si>
    <t>列传第一百三十二·崔胤</t>
  </si>
  <si>
    <t>卷一百八十二</t>
  </si>
  <si>
    <t>对应TC-TIMELINE-0024；《旧唐书》交叉印证李茂贞犯京及昭宗幸华州。</t>
  </si>
  <si>
    <t>TC-CHUNK-2242</t>
  </si>
  <si>
    <t>韩全诲等陈兵殿前，逼昭宗离开长安幸凤翔；御院纵火，帝后、诸王百余人恸哭出门，回顾禁中，火已赫然。</t>
  </si>
  <si>
    <t>唐纪·昭宗天复元年</t>
  </si>
  <si>
    <t>卷二百六十二</t>
  </si>
  <si>
    <t>对应TC-TIMELINE-0025；直述昭宗被迫离京及禁中纵火。</t>
  </si>
  <si>
    <t>TC-CHUNK-2243</t>
  </si>
  <si>
    <t>甲子，车驾出凤翔，幸全忠营。……己巳，入长安。庚午，全忠、崔胤同对。……是日，全忠以兵驱宦官第五可范等数百人于内侍省，尽杀之。</t>
  </si>
  <si>
    <t>唐纪·昭宗天复三年</t>
  </si>
  <si>
    <t>卷二百六十三</t>
  </si>
  <si>
    <t>对应TC-TIMELINE-0025；原文摘录昭宗返京及朱全忠控制朝局的转折。</t>
  </si>
  <si>
    <t>TC-CHUNK-2244</t>
  </si>
  <si>
    <t>天复元年十一月，朱全忠犯京师，昭宗如凤翔；三年正月，幸朱全忠军，己巳，至自凤翔，并于次日大规模诛杀中官。</t>
  </si>
  <si>
    <t>对应TC-TIMELINE-0025；交叉印证901年离京、903年返京与宦官集团覆灭。</t>
  </si>
  <si>
    <t>实体表（通用实体主数据）</t>
  </si>
  <si>
    <t>entity_key*</t>
  </si>
  <si>
    <t>name*</t>
  </si>
  <si>
    <t>name_traditional</t>
  </si>
  <si>
    <t>entity_type*</t>
  </si>
  <si>
    <t>aliases</t>
  </si>
  <si>
    <t>category</t>
  </si>
  <si>
    <t>period_start</t>
  </si>
  <si>
    <t>period_end</t>
  </si>
  <si>
    <t>description</t>
  </si>
  <si>
    <t>location_text</t>
  </si>
  <si>
    <t>chunk_key</t>
  </si>
  <si>
    <t>description_quote</t>
  </si>
  <si>
    <t>关系表（通用图谱关系）</t>
  </si>
  <si>
    <t>relation_key*</t>
  </si>
  <si>
    <t>source_name</t>
  </si>
  <si>
    <t>target_key*</t>
  </si>
  <si>
    <t>target_name</t>
  </si>
  <si>
    <t>relation_type*</t>
  </si>
  <si>
    <t>relation_label*</t>
  </si>
  <si>
    <t>evidence_source_key*</t>
  </si>
  <si>
    <t>evidence_quote*</t>
  </si>
  <si>
    <t>唐长安城坊平面坐标基准（TC-PLANAR-GRID-v1）</t>
  </si>
  <si>
    <t>项目</t>
  </si>
  <si>
    <t>说明</t>
  </si>
  <si>
    <t>coordinate_system</t>
  </si>
  <si>
    <t>TC-PLANAR-GRID-v1</t>
  </si>
  <si>
    <t>适用范围</t>
  </si>
  <si>
    <t>108坊中心的抽象平面定位；不是现代经纬度或考古测量坐标</t>
  </si>
  <si>
    <t>横向规则</t>
  </si>
  <si>
    <t>朱雀门街中线x=0；街东为正、街西为负；东、西各五列坊</t>
  </si>
  <si>
    <t>纵向规则</t>
  </si>
  <si>
    <t>皇城南第一排y=1，向南逐排递增至9；皇城两侧向北使用y=0至-3</t>
  </si>
  <si>
    <t>坐标对象</t>
  </si>
  <si>
    <t>坐标表示坊区中心；朱雀门街本身占x=0，不作为坊坐标列</t>
  </si>
  <si>
    <t>字段要求</t>
  </si>
  <si>
    <t>坊功能表填写x、y、coordinate_system，并保留geometry_ref</t>
  </si>
  <si>
    <t>规则来源</t>
  </si>
  <si>
    <t>同事提交的《108坊平面坐标版》；正式发布时继续核对底图与文献依据</t>
  </si>
  <si>
    <t>相对位置</t>
  </si>
  <si>
    <t>x</t>
  </si>
  <si>
    <t>含义</t>
  </si>
  <si>
    <t>示例写法</t>
  </si>
  <si>
    <t>纵向位置</t>
  </si>
  <si>
    <t>y</t>
  </si>
  <si>
    <t>校核示例</t>
  </si>
  <si>
    <t>朱雀门街西第五列</t>
  </si>
  <si>
    <t>最西侧坊列</t>
  </si>
  <si>
    <t>(-5,y)</t>
  </si>
  <si>
    <t>皇城两侧向北扩展区</t>
  </si>
  <si>
    <t>北部坊区逻辑层级</t>
  </si>
  <si>
    <t>(x,-3)</t>
  </si>
  <si>
    <t>平康坊</t>
  </si>
  <si>
    <t>朱雀门街西第四列</t>
  </si>
  <si>
    <t>西侧第四列</t>
  </si>
  <si>
    <t>(-4,y)</t>
  </si>
  <si>
    <t>(x,-2)</t>
  </si>
  <si>
    <t>修真坊</t>
  </si>
  <si>
    <t>朱雀门街西第三列</t>
  </si>
  <si>
    <t>西侧第三列</t>
  </si>
  <si>
    <t>(-3,y)</t>
  </si>
  <si>
    <t>(x,-1)</t>
  </si>
  <si>
    <t>安定坊</t>
  </si>
  <si>
    <t>朱雀门街西第二列</t>
  </si>
  <si>
    <t>西侧第二列</t>
  </si>
  <si>
    <t>(-2,y)</t>
  </si>
  <si>
    <t>(x,0)</t>
  </si>
  <si>
    <t>修德坊</t>
  </si>
  <si>
    <t>朱雀门街西第一列</t>
  </si>
  <si>
    <t>紧邻中轴西侧</t>
  </si>
  <si>
    <t>(-1,y)</t>
  </si>
  <si>
    <t>皇城南第1排</t>
  </si>
  <si>
    <t>向南逐排递增</t>
  </si>
  <si>
    <t>(x,1)</t>
  </si>
  <si>
    <t>普宁坊</t>
  </si>
  <si>
    <t>朱雀门街中线</t>
  </si>
  <si>
    <t>道路中轴，不作为坊中心坐标</t>
  </si>
  <si>
    <t>仅作坐标原点</t>
  </si>
  <si>
    <t>皇城南第2排</t>
  </si>
  <si>
    <t>(x,2)</t>
  </si>
  <si>
    <t>休祥坊</t>
  </si>
  <si>
    <t>朱雀门街东第一列</t>
  </si>
  <si>
    <t>紧邻中轴东侧</t>
  </si>
  <si>
    <t>(1,y)</t>
  </si>
  <si>
    <t>皇城南第3排</t>
  </si>
  <si>
    <t>(x,3)</t>
  </si>
  <si>
    <t>朱雀门街东第二列</t>
  </si>
  <si>
    <t>东侧第二列</t>
  </si>
  <si>
    <t>(2,y)</t>
  </si>
  <si>
    <t>皇城南第4排</t>
  </si>
  <si>
    <t>(x,4)</t>
  </si>
  <si>
    <t>朱雀门街东第三列</t>
  </si>
  <si>
    <t>东侧第三列</t>
  </si>
  <si>
    <t>(3,y)</t>
  </si>
  <si>
    <t>皇城南第5排</t>
  </si>
  <si>
    <t>(x,5)</t>
  </si>
  <si>
    <t>朱雀门街东第四列</t>
  </si>
  <si>
    <t>东侧第四列</t>
  </si>
  <si>
    <t>(4,y)</t>
  </si>
  <si>
    <t>皇城南第6排</t>
  </si>
  <si>
    <t>(x,6)</t>
  </si>
  <si>
    <t>朱雀门街东第五列</t>
  </si>
  <si>
    <t>最东侧坊列</t>
  </si>
  <si>
    <t>(5,y)</t>
  </si>
  <si>
    <t>皇城南第7排</t>
  </si>
  <si>
    <t>(x,7)</t>
  </si>
  <si>
    <t>皇城南第8排</t>
  </si>
  <si>
    <t>(x,8)</t>
  </si>
  <si>
    <t>皇城南第9排</t>
  </si>
  <si>
    <t>(x,9)</t>
  </si>
  <si>
    <t>说明：旧SENO-8C-V0.1网格保留在Git历史版本中，仅用于追溯早期试录，不再作为当前主坐标规则。</t>
  </si>
  <si>
    <t>数据衔接：全量108坊坐标以同事提交表为迁移来源；本表只规定字段含义与坐标方向。</t>
  </si>
  <si>
    <t>坊—功能对照表（108坊名称、功能与空间定位）</t>
  </si>
  <si>
    <t>带 * 的字段为必填；x、y 为 TC-PLANAR-GRID-v1 坊区中心坐标，不是经纬度；朱雀门街中线 x=0，东正西负，向南 y 增大。</t>
  </si>
  <si>
    <t>fang_key*</t>
  </si>
  <si>
    <t>is_108_fang*</t>
  </si>
  <si>
    <t>area</t>
  </si>
  <si>
    <t>primary_function*</t>
  </si>
  <si>
    <t>secondary_functions</t>
  </si>
  <si>
    <t>function_basis</t>
  </si>
  <si>
    <t>nearby_road_keys</t>
  </si>
  <si>
    <t>nearby_canal_keys</t>
  </si>
  <si>
    <t>nearby_market_keys</t>
  </si>
  <si>
    <t>nearby_palace_keys</t>
  </si>
  <si>
    <t>geometry_ref</t>
  </si>
  <si>
    <t>location_accuracy</t>
  </si>
  <si>
    <t>坊间空间关系表（最终自动转换到统一关系表）</t>
  </si>
  <si>
    <t>带 * 的字段为必填；一行只记录“坊A—空间关系—坊B”。相邻只录一次；有方向关系保留原始方向，反向关系由程序推导。</t>
  </si>
  <si>
    <t>spatial_relation_key*</t>
  </si>
  <si>
    <t>fang_a_key*</t>
  </si>
  <si>
    <t>fang_a_name</t>
  </si>
  <si>
    <t>spatial_relation_type*</t>
  </si>
  <si>
    <t>fang_b_key*</t>
  </si>
  <si>
    <t>fang_b_name</t>
  </si>
  <si>
    <t>between_road_key</t>
  </si>
  <si>
    <t>between_canal_key</t>
  </si>
  <si>
    <t>is_adjacent*</t>
  </si>
  <si>
    <t>坊内平面规则表（占位版 v0.1）</t>
  </si>
  <si>
    <t>暂存十字街、街巷等级、宅基地划分和坊门—街道拓扑规则；当前字段可在论文样例试录后调整。带 * 字段为必填。</t>
  </si>
  <si>
    <t>layout_rule_key*</t>
  </si>
  <si>
    <t>rule_name*</t>
  </si>
  <si>
    <t>rule_type*</t>
  </si>
  <si>
    <t>description*</t>
  </si>
  <si>
    <t>applies_to_keys</t>
  </si>
  <si>
    <t>道路分级数据表（名称、等级、宽度与走向）</t>
  </si>
  <si>
    <t>带 * 的字段为必填；road_key按道路实体连续编码：0001—0014为南北向主表，0015—0025为东西向主表，其他道路从0026起扩展。</t>
  </si>
  <si>
    <t>road_key*</t>
  </si>
  <si>
    <t>road_level*</t>
  </si>
  <si>
    <t>road_type</t>
  </si>
  <si>
    <t>direction*</t>
  </si>
  <si>
    <t>start_entity_key</t>
  </si>
  <si>
    <t>end_entity_key</t>
  </si>
  <si>
    <t>connected_gate_keys</t>
  </si>
  <si>
    <t>passing_fang_keys</t>
  </si>
  <si>
    <t>original_width_value</t>
  </si>
  <si>
    <t>original_width_unit</t>
  </si>
  <si>
    <t>normalized_width_m</t>
  </si>
  <si>
    <t>conversion_basis</t>
  </si>
  <si>
    <t>唐长安城道路实体编码规则（TC-ROAD-v1）</t>
  </si>
  <si>
    <t>外郭城南北向11条主街编号（0001—0011）及其他既有南北向道路（0012—0014）</t>
  </si>
  <si>
    <t>外郭城东西向14条主街编号与扩展规则</t>
  </si>
  <si>
    <t>编号范围</t>
  </si>
  <si>
    <t>道路对象</t>
  </si>
  <si>
    <t>方向</t>
  </si>
  <si>
    <t>名称逻辑</t>
  </si>
  <si>
    <t>TC-ROAD-0001</t>
  </si>
  <si>
    <t>朱雀门街</t>
  </si>
  <si>
    <t>南北</t>
  </si>
  <si>
    <t>正式/常用名称</t>
  </si>
  <si>
    <t>中央轴线坊区段</t>
  </si>
  <si>
    <t>TC-ROAD-0015—0025、0028—0030</t>
  </si>
  <si>
    <t>外郭城东西第一至第十四街</t>
  </si>
  <si>
    <t>东西</t>
  </si>
  <si>
    <t>自北向南第一至第十四街</t>
  </si>
  <si>
    <t>据原文“南北十四街”确定道路数量</t>
  </si>
  <si>
    <t>TC-ROAD-0002—0006</t>
  </si>
  <si>
    <t>朱雀门街东第一至第五街</t>
  </si>
  <si>
    <t>按距朱雀门街序位</t>
  </si>
  <si>
    <t>由近及远</t>
  </si>
  <si>
    <t>TC-ROAD-0026—0027</t>
  </si>
  <si>
    <t>既有扩展道路：横街、承天门街</t>
  </si>
  <si>
    <t>按实际</t>
  </si>
  <si>
    <t>按史料名称</t>
  </si>
  <si>
    <t>不占用十四条东西向主街的身份</t>
  </si>
  <si>
    <t>TC-ROAD-0007—0011</t>
  </si>
  <si>
    <t>朱雀门街西第一至第五街</t>
  </si>
  <si>
    <t>编码原则</t>
  </si>
  <si>
    <t>road_key标识道路实体</t>
  </si>
  <si>
    <t>—</t>
  </si>
  <si>
    <t>不再以NS/EW轴线作主键</t>
  </si>
  <si>
    <t>编号与位置描述分离</t>
  </si>
  <si>
    <t>TC-ROAD-0012</t>
  </si>
  <si>
    <t>丹凤门街</t>
  </si>
  <si>
    <t>正式名称</t>
  </si>
  <si>
    <t>大明宫宫门轴线</t>
  </si>
  <si>
    <t>同轴分段</t>
  </si>
  <si>
    <t>不同路段分别建实体</t>
  </si>
  <si>
    <t>可在note/关系中说明同轴</t>
  </si>
  <si>
    <t>不得因同轴合并道路</t>
  </si>
  <si>
    <t>TC-ROAD-0013</t>
  </si>
  <si>
    <t>东市中央南北街</t>
  </si>
  <si>
    <t>项目描述名</t>
  </si>
  <si>
    <t>市场内部道路</t>
  </si>
  <si>
    <t>暂名道路</t>
  </si>
  <si>
    <t>名称后标“（暂名）”</t>
  </si>
  <si>
    <t>note注明项目描述名</t>
  </si>
  <si>
    <t>正式名称确认后保留旧名为aliases</t>
  </si>
  <si>
    <t>TC-ROAD-0014</t>
  </si>
  <si>
    <t>西市中央南北街</t>
  </si>
  <si>
    <t>时期变化</t>
  </si>
  <si>
    <t>同名但路线变化显著时分实体</t>
  </si>
  <si>
    <t>记录period_start/end</t>
  </si>
  <si>
    <t>避免跨时期混用</t>
  </si>
  <si>
    <t>主键稳定</t>
  </si>
  <si>
    <t>平台迁移后原则上不重排</t>
  </si>
  <si>
    <t>新增道路只追加编号</t>
  </si>
  <si>
    <t>删除记录不得回收编号</t>
  </si>
  <si>
    <t>重要说明：古文按街道贯通方向表述——“南北十四街”指十四条东西向道路，“东西十一街”指十一条南北向道路；道路数量与坊间轴线数不是同一概念。</t>
  </si>
  <si>
    <t>旧NS-01—NS-09、EW-01—EW-12只作为早期网格试录记录，不再进入road_key；历史版本可由Git追溯。</t>
  </si>
  <si>
    <t>后续平台迁移应先导入道路实体编码表，再处理城门连接、经过坊及研究结论等关系。</t>
  </si>
  <si>
    <t>现有样例道路改码</t>
  </si>
  <si>
    <t>新road_key</t>
  </si>
  <si>
    <t>主表对应</t>
  </si>
  <si>
    <t>处理方式</t>
  </si>
  <si>
    <t>朱雀大街/朱雀门街</t>
  </si>
  <si>
    <t>统一主键</t>
  </si>
  <si>
    <t>朱雀大街保留为别名</t>
  </si>
  <si>
    <t>启夏门北向道路（暂名）</t>
  </si>
  <si>
    <t>TC-ROAD-0004</t>
  </si>
  <si>
    <t>朱雀门街东第三街</t>
  </si>
  <si>
    <t>暂名保留在aliases/note</t>
  </si>
  <si>
    <t>安化门北向道路（暂名）</t>
  </si>
  <si>
    <t>TC-ROAD-0009</t>
  </si>
  <si>
    <t>朱雀门街西第三街</t>
  </si>
  <si>
    <t>横街</t>
  </si>
  <si>
    <t>TC-ROAD-0026</t>
  </si>
  <si>
    <t>主表外扩展</t>
  </si>
  <si>
    <t>追加编号</t>
  </si>
  <si>
    <t>不占用0015—0025</t>
  </si>
  <si>
    <t>承天门街</t>
  </si>
  <si>
    <t>TC-ROAD-0027</t>
  </si>
  <si>
    <t>与朱雀门街同轴但分段建实体</t>
  </si>
  <si>
    <t>水渠数据表（水源、走向与供水范围）</t>
  </si>
  <si>
    <t>canal_key*</t>
  </si>
  <si>
    <t>canal_level</t>
  </si>
  <si>
    <t>water_source_key</t>
  </si>
  <si>
    <t>flows_to_key</t>
  </si>
  <si>
    <t>direction</t>
  </si>
  <si>
    <t>passing_area_keys</t>
  </si>
  <si>
    <t>supplied_entity_keys</t>
  </si>
  <si>
    <t>water_use</t>
  </si>
  <si>
    <t>supply_scope</t>
  </si>
  <si>
    <t>城门数据表（位置、等级、宽度与连接道路）</t>
  </si>
  <si>
    <t>gate_key*</t>
  </si>
  <si>
    <t>gate_type*</t>
  </si>
  <si>
    <t>parent_area_key*</t>
  </si>
  <si>
    <t>wall_side*</t>
  </si>
  <si>
    <t>position_text</t>
  </si>
  <si>
    <t>gate_level</t>
  </si>
  <si>
    <t>gate_function</t>
  </si>
  <si>
    <t>connected_road_keys</t>
  </si>
  <si>
    <t>facing_gate_keys</t>
  </si>
  <si>
    <t>passage_count</t>
  </si>
  <si>
    <t>longitude</t>
  </si>
  <si>
    <t>latitude</t>
  </si>
  <si>
    <t>crs</t>
  </si>
  <si>
    <t>location_source</t>
  </si>
  <si>
    <t>built_year</t>
  </si>
  <si>
    <t>renamed_year</t>
  </si>
  <si>
    <t>abandoned_year</t>
  </si>
  <si>
    <t>dispute_note</t>
  </si>
  <si>
    <t>尺度关系汇总表（原值、标准化值与倍数计算）</t>
  </si>
  <si>
    <t>scale_key*</t>
  </si>
  <si>
    <t>subject_a_key*</t>
  </si>
  <si>
    <t>subject_a_name</t>
  </si>
  <si>
    <t>subject_b_key*</t>
  </si>
  <si>
    <t>subject_b_name</t>
  </si>
  <si>
    <t>metric*</t>
  </si>
  <si>
    <t>a_original_value*</t>
  </si>
  <si>
    <t>a_original_unit*</t>
  </si>
  <si>
    <t>a_normalized_value*</t>
  </si>
  <si>
    <t>b_original_value*</t>
  </si>
  <si>
    <t>b_original_unit*</t>
  </si>
  <si>
    <t>b_normalized_value*</t>
  </si>
  <si>
    <t>normalized_unit*</t>
  </si>
  <si>
    <t>ratio_a_to_b</t>
  </si>
  <si>
    <t>calculation_note</t>
  </si>
  <si>
    <t>comparability*</t>
  </si>
  <si>
    <t>measurement_method</t>
  </si>
  <si>
    <t>uncertainty_note</t>
  </si>
  <si>
    <t>功能分区规则表（条件、结论、证据与例外）</t>
  </si>
  <si>
    <t>rule_key*</t>
  </si>
  <si>
    <t>scope*</t>
  </si>
  <si>
    <t>condition_text*</t>
  </si>
  <si>
    <t>conclusion_text*</t>
  </si>
  <si>
    <t>related_fang_keys</t>
  </si>
  <si>
    <t>related_road_keys</t>
  </si>
  <si>
    <t>related_canal_keys</t>
  </si>
  <si>
    <t>related_market_keys</t>
  </si>
  <si>
    <t>related_palace_keys</t>
  </si>
  <si>
    <t>positive_examples*</t>
  </si>
  <si>
    <t>exceptions</t>
  </si>
  <si>
    <t>inference_steps</t>
  </si>
  <si>
    <t>研究结论表（InterpretiveClaim，占位版 v0.1）</t>
  </si>
  <si>
    <t>一行只记录一条可独立审核的学术结论；必须区分论文原意、项目组归纳和科普转述，并保留作者、原文片段、论证依据与限制条件。</t>
  </si>
  <si>
    <t>claim_key*</t>
  </si>
  <si>
    <t>claim_title*</t>
  </si>
  <si>
    <t>claim_text*</t>
  </si>
  <si>
    <t>popular_text</t>
  </si>
  <si>
    <t>claim_type*</t>
  </si>
  <si>
    <t>subject_keys*</t>
  </si>
  <si>
    <t>subject_relation_type*</t>
  </si>
  <si>
    <t>proposed_by</t>
  </si>
  <si>
    <t>basis_text*</t>
  </si>
  <si>
    <t>reasoning_chain</t>
  </si>
  <si>
    <t>scope</t>
  </si>
  <si>
    <t>limitations</t>
  </si>
  <si>
    <t>claim_status*</t>
  </si>
  <si>
    <t>专题表 → 通用实体表/关系表转换规则 v1.2</t>
  </si>
  <si>
    <t>本表是转换说明书，不是文献录入表。程序按一行一条规则生成实体或关系；所有生成结果必须继承证据链。</t>
  </si>
  <si>
    <t>mapping_key*</t>
  </si>
  <si>
    <t>source_sheet*</t>
  </si>
  <si>
    <t>source_field*</t>
  </si>
  <si>
    <t>condition</t>
  </si>
  <si>
    <t>target_type*</t>
  </si>
  <si>
    <t>entity_type</t>
  </si>
  <si>
    <t>relation_type</t>
  </si>
  <si>
    <t>subject_field</t>
  </si>
  <si>
    <t>object_field</t>
  </si>
  <si>
    <t>property_mapping</t>
  </si>
  <si>
    <t>inverse_relation</t>
  </si>
  <si>
    <t>auto_generate*</t>
  </si>
  <si>
    <t>evidence_requirement</t>
  </si>
  <si>
    <t>conflict_handling</t>
  </si>
  <si>
    <t>MAP-FANG-ENTITY</t>
  </si>
  <si>
    <t>fang_key,name</t>
  </si>
  <si>
    <t>fang_key非空</t>
  </si>
  <si>
    <t>实体</t>
  </si>
  <si>
    <t>Fang</t>
  </si>
  <si>
    <t>fang_key</t>
  </si>
  <si>
    <t>名称、别名、时期、位置、x、y、coordinate_system、几何引用、来源等写入实体属性</t>
  </si>
  <si>
    <t>source_key；正式记录需chunk_key和引文</t>
  </si>
  <si>
    <t>同编号合并；名称冲突转人工审核</t>
  </si>
  <si>
    <t>每个坊只生成一个实体</t>
  </si>
  <si>
    <t>MAP-FANG-FUNCTION</t>
  </si>
  <si>
    <t>primary_function,secondary_functions</t>
  </si>
  <si>
    <t>功能字段非空</t>
  </si>
  <si>
    <t>关系</t>
  </si>
  <si>
    <t>FunctionCategory</t>
  </si>
  <si>
    <t>HAS_FUNCTION</t>
  </si>
  <si>
    <t>功能分类编号</t>
  </si>
  <si>
    <t>功能依据、时期、可信度写入关系属性</t>
  </si>
  <si>
    <t>来源、片段、原文</t>
  </si>
  <si>
    <t>功能分类先按代码表标准化</t>
  </si>
  <si>
    <t>多个功能拆成多条关系</t>
  </si>
  <si>
    <t>MAP-FANG-ROAD</t>
  </si>
  <si>
    <t>字段非空</t>
  </si>
  <si>
    <t>Road</t>
  </si>
  <si>
    <t>NEAR</t>
  </si>
  <si>
    <t>时期、来源、可信度</t>
  </si>
  <si>
    <t>多个编号逐一拆分</t>
  </si>
  <si>
    <t>不得把逗号串作为单个客体</t>
  </si>
  <si>
    <t>MAP-ROAD-ENTITY</t>
  </si>
  <si>
    <t>road_key,name</t>
  </si>
  <si>
    <t>road_key非空</t>
  </si>
  <si>
    <t>road_key</t>
  </si>
  <si>
    <t>等级、类型、走向、道路实体编号、宽度、时期、几何等写入实体属性</t>
  </si>
  <si>
    <t>同编号合并；别名保留</t>
  </si>
  <si>
    <t>宽度原值与标准化值并存</t>
  </si>
  <si>
    <t>MAP-ROAD-GATE</t>
  </si>
  <si>
    <t>Gate</t>
  </si>
  <si>
    <t>CONNECTS_TO</t>
  </si>
  <si>
    <t>时期、来源、证据、可信度</t>
  </si>
  <si>
    <t>道路指向城门</t>
  </si>
  <si>
    <t>MAP-ROAD-FANG</t>
  </si>
  <si>
    <t>PASSES_THROUGH</t>
  </si>
  <si>
    <t>经过与邻近不得混用</t>
  </si>
  <si>
    <t>多个坊拆为多条关系</t>
  </si>
  <si>
    <t>MAP-CANAL-ENTITY</t>
  </si>
  <si>
    <t>canal_key,name</t>
  </si>
  <si>
    <t>canal_key非空</t>
  </si>
  <si>
    <t>Canal</t>
  </si>
  <si>
    <t>canal_key</t>
  </si>
  <si>
    <t>等级、走向、用途、范围、时期、几何等写入属性</t>
  </si>
  <si>
    <t>每条水渠只生成一个实体</t>
  </si>
  <si>
    <t>MAP-CANAL-SOURCE</t>
  </si>
  <si>
    <t>WaterSource</t>
  </si>
  <si>
    <t>ORIGINATES_FROM</t>
  </si>
  <si>
    <t>水源实体不存在时先建实体</t>
  </si>
  <si>
    <t>水渠指向水源</t>
  </si>
  <si>
    <t>MAP-CANAL-FLOW</t>
  </si>
  <si>
    <t>FLOWS_INTO</t>
  </si>
  <si>
    <t>确认客体是水渠或其他水体</t>
  </si>
  <si>
    <t>水渠指向汇入对象</t>
  </si>
  <si>
    <t>MAP-CANAL-PASS</t>
  </si>
  <si>
    <t>FLOWS_THROUGH</t>
  </si>
  <si>
    <t>流经不等于供水</t>
  </si>
  <si>
    <t>MAP-CANAL-SUPPLY</t>
  </si>
  <si>
    <t>SUPPLIES_WATER_TO</t>
  </si>
  <si>
    <t>用途、范围、时期、来源、可信度</t>
  </si>
  <si>
    <t>供水对象须已存在于实体表</t>
  </si>
  <si>
    <t>MAP-GATE-ENTITY</t>
  </si>
  <si>
    <t>gate_key,name</t>
  </si>
  <si>
    <t>gate_key非空</t>
  </si>
  <si>
    <t>gate_key</t>
  </si>
  <si>
    <t>类型、方位、等级、功能、宽度、门道、坐标、时期等写入属性</t>
  </si>
  <si>
    <t>同编号合并；争议信息并存</t>
  </si>
  <si>
    <t>每座城门只生成一个实体</t>
  </si>
  <si>
    <t>MAP-GATE-PART</t>
  </si>
  <si>
    <t>parent_area_key</t>
  </si>
  <si>
    <t>PART_OF</t>
  </si>
  <si>
    <t>所属城垣对象先建立实体</t>
  </si>
  <si>
    <t>城门指向所属城垣/区域</t>
  </si>
  <si>
    <t>MAP-GATE-ROAD</t>
  </si>
  <si>
    <t>与道路表关系去重</t>
  </si>
  <si>
    <t>MAP-GATE-FACING</t>
  </si>
  <si>
    <t>FACING</t>
  </si>
  <si>
    <t>同一无向关系只保留一条</t>
  </si>
  <si>
    <t>正对需证据，不能只凭现代地图猜测</t>
  </si>
  <si>
    <t>MAP-SCALE-ENTITY</t>
  </si>
  <si>
    <t>scale_key</t>
  </si>
  <si>
    <t>scale_key非空</t>
  </si>
  <si>
    <t>指标、两组原值/单位、标准化值、比例、误差、方法、时期等写入属性</t>
  </si>
  <si>
    <t>source_key、原文或计算依据</t>
  </si>
  <si>
    <t>不同指标分别建记录</t>
  </si>
  <si>
    <t>不直接简化为“大于”关系</t>
  </si>
  <si>
    <t>MAP-SCALE-A</t>
  </si>
  <si>
    <t>subject_a_key</t>
  </si>
  <si>
    <t>HAS_SUBJECT_A</t>
  </si>
  <si>
    <t>对象A数值与单位保留在尺度实体</t>
  </si>
  <si>
    <t>继承尺度记录证据</t>
  </si>
  <si>
    <t>对象必须已存在</t>
  </si>
  <si>
    <t>尺度记录指向对象A</t>
  </si>
  <si>
    <t>MAP-SCALE-B</t>
  </si>
  <si>
    <t>subject_b_key</t>
  </si>
  <si>
    <t>HAS_SUBJECT_B</t>
  </si>
  <si>
    <t>对象B数值与单位保留在尺度实体</t>
  </si>
  <si>
    <t>尺度记录指向对象B</t>
  </si>
  <si>
    <t>MAP-RULE-ENTITY</t>
  </si>
  <si>
    <t>rule_key</t>
  </si>
  <si>
    <t>rule_key非空</t>
  </si>
  <si>
    <t>名称、类型、范围、条件、结论、例外、推理、时期、可信度、审核状态写入属性</t>
  </si>
  <si>
    <t>source_key、evidence_quote；建议多个片段</t>
  </si>
  <si>
    <t>相互矛盾的规则分别保留并审核</t>
  </si>
  <si>
    <t>未审核规则只作为候选</t>
  </si>
  <si>
    <t>MAP-RULE-APPLY</t>
  </si>
  <si>
    <t>APPLIES_TO</t>
  </si>
  <si>
    <t>时期、证据、可信度</t>
  </si>
  <si>
    <t>继承规则证据</t>
  </si>
  <si>
    <t>也可用于其他明确适用对象</t>
  </si>
  <si>
    <t>MAP-RULE-INVOLVE</t>
  </si>
  <si>
    <t>related_road_keys,related_canal_keys,related_market_keys,related_palace_keys</t>
  </si>
  <si>
    <t>INVOLVES</t>
  </si>
  <si>
    <t>各相关对象编号</t>
  </si>
  <si>
    <t>对象类别、时期、证据、可信度</t>
  </si>
  <si>
    <t>按对象编号拆分</t>
  </si>
  <si>
    <t>不把多个对象拼成一个客体</t>
  </si>
  <si>
    <t>MAP-RULE-SOURCE</t>
  </si>
  <si>
    <t>source_key,chunk_key</t>
  </si>
  <si>
    <t>Reference</t>
  </si>
  <si>
    <t>SUPPORTED_BY</t>
  </si>
  <si>
    <t>source_key/chunk_key</t>
  </si>
  <si>
    <t>引文、证据类型、可信度</t>
  </si>
  <si>
    <t>至少一个来源；正式结论应有片段</t>
  </si>
  <si>
    <t>多个来源生成多条关系</t>
  </si>
  <si>
    <t>来源与片段在平台中可分层建模</t>
  </si>
  <si>
    <t>MAP-SPATIAL</t>
  </si>
  <si>
    <t>fang_a_key,spatial_relation_type,fang_b_key</t>
  </si>
  <si>
    <t>三项均非空</t>
  </si>
  <si>
    <t>取spatial_relation_type</t>
  </si>
  <si>
    <t>fang_a_key</t>
  </si>
  <si>
    <t>fang_b_key</t>
  </si>
  <si>
    <t>中间道路/水渠、是否接壤、时期、来源、片段、引文、可信度、审核状态</t>
  </si>
  <si>
    <t>按代码对照表</t>
  </si>
  <si>
    <t>source_key、chunk_key、evidence_quote</t>
  </si>
  <si>
    <t>坊A/B须存在；冲突关系并存并转人工审核</t>
  </si>
  <si>
    <t>最终写入统一关系表</t>
  </si>
  <si>
    <t>MAP-LAYOUT-ENTITY</t>
  </si>
  <si>
    <t>layout_rule_key,rule_name</t>
  </si>
  <si>
    <t>layout_rule_key非空</t>
  </si>
  <si>
    <t>LayoutRule</t>
  </si>
  <si>
    <t>layout_rule_key</t>
  </si>
  <si>
    <t>类型、描述、时期、适用范围写入属性</t>
  </si>
  <si>
    <t>同编号合并；规则差异并存</t>
  </si>
  <si>
    <t>MAP-LAYOUT-APPLIES</t>
  </si>
  <si>
    <t>时期、证据、可信度写入关系属性</t>
  </si>
  <si>
    <t>来源、片段、证据类型</t>
  </si>
  <si>
    <t>MAP-CLAIM-ENTITY</t>
  </si>
  <si>
    <t>claim_key,claim_title</t>
  </si>
  <si>
    <t>claim_key非空</t>
  </si>
  <si>
    <t>claim_key</t>
  </si>
  <si>
    <t>结论正文、科普表述、作者、依据、范围、限制和状态写入属性</t>
  </si>
  <si>
    <t>source_key、chunk_key、basis_text</t>
  </si>
  <si>
    <t>同一论文结论按独立论点拆分</t>
  </si>
  <si>
    <t>MAP-CLAIM-SUBJECT</t>
  </si>
  <si>
    <t>subject_keys,subject_relation_type</t>
  </si>
  <si>
    <t>两个字段均非空</t>
  </si>
  <si>
    <t>由subject_relation_type决定</t>
  </si>
  <si>
    <t>subject_keys</t>
  </si>
  <si>
    <t>作者、范围、证据、可信度写入关系属性</t>
  </si>
  <si>
    <t>来源、片段、论证依据</t>
  </si>
  <si>
    <t>多个对象逐一拆分；冲突观点不得覆盖</t>
  </si>
  <si>
    <t>MAP-TERRAIN-ENTITY</t>
  </si>
  <si>
    <t>terrain_key,name</t>
  </si>
  <si>
    <t>terrain_key非空</t>
  </si>
  <si>
    <t>terrain_key</t>
  </si>
  <si>
    <t>类型、位置、高程、坡向、地貌描述、几何、时期和证据写入属性</t>
  </si>
  <si>
    <t>同编号合并；不同测量结果并存审核</t>
  </si>
  <si>
    <t>地形影响解释不得直接写为事实</t>
  </si>
  <si>
    <t>MAP-TERRAIN-COVER</t>
  </si>
  <si>
    <t>covered_area_keys</t>
  </si>
  <si>
    <t>COVERS</t>
  </si>
  <si>
    <t>时期、几何、来源和可信度</t>
  </si>
  <si>
    <t>继承地形记录证据</t>
  </si>
  <si>
    <t>多个对象逐一拆分</t>
  </si>
  <si>
    <t>地形单元指向覆盖区域</t>
  </si>
  <si>
    <t>MAP-BUILDING-ENTITY</t>
  </si>
  <si>
    <t>building_key,name</t>
  </si>
  <si>
    <t>building_key非空</t>
  </si>
  <si>
    <t>由entity_type决定</t>
  </si>
  <si>
    <t>building_key</t>
  </si>
  <si>
    <t>类型、功能、位置、坐标、年代、几何和证据写入属性</t>
  </si>
  <si>
    <t>Market与Building按代码表区分</t>
  </si>
  <si>
    <t>MAP-BUILDING-AREA</t>
  </si>
  <si>
    <t>parent_area_key,located_fang_key</t>
  </si>
  <si>
    <t>LOCATED_IN</t>
  </si>
  <si>
    <t>对应区域编号</t>
  </si>
  <si>
    <t>时期、位置、来源和可信度</t>
  </si>
  <si>
    <t>继承建筑记录证据</t>
  </si>
  <si>
    <t>两个字段分别生成关系</t>
  </si>
  <si>
    <t>建筑或设施指向所在区域</t>
  </si>
  <si>
    <t>MAP-BUILDING-ROAD</t>
  </si>
  <si>
    <t>时期、来源、证据和可信度</t>
  </si>
  <si>
    <t>MAP-BUILDING-CANAL</t>
  </si>
  <si>
    <t>邻近不等于供水</t>
  </si>
  <si>
    <t>供水须由水渠表另建关系</t>
  </si>
  <si>
    <t>MAP-POPULAR-ENTITY</t>
  </si>
  <si>
    <t>content_key,title</t>
  </si>
  <si>
    <t>content_key非空</t>
  </si>
  <si>
    <t>content_key</t>
  </si>
  <si>
    <t>问题、答案、正文、受众、媒介、版本和审核状态写入属性</t>
  </si>
  <si>
    <t>必须存在至少一条已审核依据关联</t>
  </si>
  <si>
    <t>同编号按version保留历史版本</t>
  </si>
  <si>
    <t>未通过科学审核不得发布</t>
  </si>
  <si>
    <t>MAP-POPULAR-EVIDENCE</t>
  </si>
  <si>
    <t>content_key,evidence_key</t>
  </si>
  <si>
    <t>两项均非空</t>
  </si>
  <si>
    <t>evidence_key</t>
  </si>
  <si>
    <t>依据类型、支撑角色、显示顺序和公众说明写入关系属性</t>
  </si>
  <si>
    <t>evidence_key必须存在</t>
  </si>
  <si>
    <t>一行只生成一条关系</t>
  </si>
  <si>
    <t>科普内容可以跨多张专题表取证</t>
  </si>
  <si>
    <t>MAP-TIMELINE-ENTITY</t>
  </si>
  <si>
    <t>timeline_key,event_name</t>
  </si>
  <si>
    <t>timeline_key非空</t>
  </si>
  <si>
    <t>TimelineEvent</t>
  </si>
  <si>
    <t>timeline_key</t>
  </si>
  <si>
    <t>年份、显示时间、朝代、年号、类型、摘要、意义、长安影响和审核状态写入属性</t>
  </si>
  <si>
    <t>source_key；已审核记录应有chunk_key</t>
  </si>
  <si>
    <t>同编号合并；只收录改变时代进程、首都地位或城市面貌的重要事件</t>
  </si>
  <si>
    <t>不录普通任免、单一宅院沿革及一般修缮</t>
  </si>
  <si>
    <t>MAP-TIMELINE-RELATED</t>
  </si>
  <si>
    <t>AFFECTS</t>
  </si>
  <si>
    <t>年份、摘要、来源与审核状态写入关系属性</t>
  </si>
  <si>
    <t>继承大事记记录的来源与片段</t>
  </si>
  <si>
    <t>多个实体编号按分号拆分，一一生成关系</t>
  </si>
  <si>
    <t>相关不等于直接因果；无直接影响时在note说明</t>
  </si>
  <si>
    <t>MAP-TIMELINE-EVIDENCE</t>
  </si>
  <si>
    <t>来源编号与审核状态写入关系属性</t>
  </si>
  <si>
    <t>chunk_key必须存在于史料片段表</t>
  </si>
  <si>
    <t>一条大事记可由多条片段支撑；本表主字段仅保存一个主要片段</t>
  </si>
  <si>
    <t>详细证据仍保存在史料片段表，不在大事记表长摘录</t>
  </si>
  <si>
    <t>代码对照表（字段枚举与编号规则）</t>
  </si>
  <si>
    <t>代码组</t>
  </si>
  <si>
    <t>代码</t>
  </si>
  <si>
    <t>中文名称</t>
  </si>
  <si>
    <t>适用位置</t>
  </si>
  <si>
    <t>坊</t>
  </si>
  <si>
    <t>通用实体类型</t>
  </si>
  <si>
    <t>Market</t>
  </si>
  <si>
    <t>市</t>
  </si>
  <si>
    <t>道路</t>
  </si>
  <si>
    <t>水渠</t>
  </si>
  <si>
    <t>城门</t>
  </si>
  <si>
    <t>Building</t>
  </si>
  <si>
    <t>建筑</t>
  </si>
  <si>
    <t>Person</t>
  </si>
  <si>
    <t>人物</t>
  </si>
  <si>
    <t>Event</t>
  </si>
  <si>
    <t>事件</t>
  </si>
  <si>
    <t>史料</t>
  </si>
  <si>
    <t>Rule</t>
  </si>
  <si>
    <t>规则</t>
  </si>
  <si>
    <t>位于…内</t>
  </si>
  <si>
    <t>关系方向由 source 指向 target</t>
  </si>
  <si>
    <t>LOCATED_ALONG</t>
  </si>
  <si>
    <t>位于…沿线</t>
  </si>
  <si>
    <t>EAST_OF</t>
  </si>
  <si>
    <t>位于…东侧</t>
  </si>
  <si>
    <t>WEST_OF</t>
  </si>
  <si>
    <t>位于…西侧</t>
  </si>
  <si>
    <t>SOUTH_OF</t>
  </si>
  <si>
    <t>位于…南侧</t>
  </si>
  <si>
    <t>NORTH_OF</t>
  </si>
  <si>
    <t>位于…北侧</t>
  </si>
  <si>
    <t>NORTHEAST_OF</t>
  </si>
  <si>
    <t>位于…东北侧</t>
  </si>
  <si>
    <t>ADJACENT_TO</t>
  </si>
  <si>
    <t>相邻</t>
  </si>
  <si>
    <t>靠近</t>
  </si>
  <si>
    <t>相对/正对</t>
  </si>
  <si>
    <t>连接</t>
  </si>
  <si>
    <t>FLOWS_TO</t>
  </si>
  <si>
    <t>流向</t>
  </si>
  <si>
    <t>SUPPLIES</t>
  </si>
  <si>
    <t>供水给</t>
  </si>
  <si>
    <t>SERVES</t>
  </si>
  <si>
    <t>服务于</t>
  </si>
  <si>
    <t>具有功能</t>
  </si>
  <si>
    <t>ASSOCIATED_WITH</t>
  </si>
  <si>
    <t>相关</t>
  </si>
  <si>
    <t>INVOLVED</t>
  </si>
  <si>
    <t>涉及</t>
  </si>
  <si>
    <t>MEASURED_AS</t>
  </si>
  <si>
    <t>测量为</t>
  </si>
  <si>
    <t>evidence_type</t>
  </si>
  <si>
    <t>全部数据表</t>
  </si>
  <si>
    <t>说明证据或结论的产生方式</t>
  </si>
  <si>
    <t>考古测量</t>
  </si>
  <si>
    <t>地图测量</t>
  </si>
  <si>
    <t>计算结果</t>
  </si>
  <si>
    <t>推导结论</t>
  </si>
  <si>
    <t>review_status</t>
  </si>
  <si>
    <t>草稿</t>
  </si>
  <si>
    <t>人工审核状态</t>
  </si>
  <si>
    <t>通过</t>
  </si>
  <si>
    <t>驳回</t>
  </si>
  <si>
    <t>id_prefix</t>
  </si>
  <si>
    <t>TC-FANG-</t>
  </si>
  <si>
    <t>坊功能表/实体表</t>
  </si>
  <si>
    <t>四位流水号</t>
  </si>
  <si>
    <t>TC-ROAD-</t>
  </si>
  <si>
    <t>道路分级表/实体表</t>
  </si>
  <si>
    <t>TC-CANAL-</t>
  </si>
  <si>
    <t>水渠表/实体表</t>
  </si>
  <si>
    <t>TC-GATE-</t>
  </si>
  <si>
    <t>城门表/实体表</t>
  </si>
  <si>
    <t>TC-SCALE-</t>
  </si>
  <si>
    <t>尺度关系</t>
  </si>
  <si>
    <t>TC-RULE-</t>
  </si>
  <si>
    <t>功能规则</t>
  </si>
  <si>
    <t>TC-REF-</t>
  </si>
  <si>
    <t>来源</t>
  </si>
  <si>
    <t>TC-CHUNK-</t>
  </si>
  <si>
    <t>TC-REL-</t>
  </si>
  <si>
    <t>功能分类</t>
  </si>
  <si>
    <t>住宅、商业、宗教、官署等受控分类</t>
  </si>
  <si>
    <t>水源</t>
  </si>
  <si>
    <t>河流、泉、池等可独立引用水源</t>
  </si>
  <si>
    <t>尺度比较</t>
  </si>
  <si>
    <t>承载比较指标、数值、单位与误差</t>
  </si>
  <si>
    <t>承载条件、结论、例证、例外与推理</t>
  </si>
  <si>
    <t>经过</t>
  </si>
  <si>
    <t>道路经过坊或区域</t>
  </si>
  <si>
    <t>水源来自</t>
  </si>
  <si>
    <t>流经</t>
  </si>
  <si>
    <t>水渠指向流经对象</t>
  </si>
  <si>
    <t>汇入</t>
  </si>
  <si>
    <t>水渠指向汇入水体</t>
  </si>
  <si>
    <t>供水于</t>
  </si>
  <si>
    <t>水渠指向受水对象</t>
  </si>
  <si>
    <t>属于</t>
  </si>
  <si>
    <t>城门指向所属城垣或区域</t>
  </si>
  <si>
    <t>比较对象A</t>
  </si>
  <si>
    <t>尺度比较实体指向对象A</t>
  </si>
  <si>
    <t>比较对象B</t>
  </si>
  <si>
    <t>尺度比较实体指向对象B</t>
  </si>
  <si>
    <t>适用于</t>
  </si>
  <si>
    <t>功能规则指向适用对象</t>
  </si>
  <si>
    <t>功能规则指向相关对象</t>
  </si>
  <si>
    <t>依据</t>
  </si>
  <si>
    <t>规则、实体或关系指向来源/片段</t>
  </si>
  <si>
    <t>NORTHWEST_OF</t>
  </si>
  <si>
    <t>位于…西北侧</t>
  </si>
  <si>
    <t>反向关系为SOUTHEAST_OF</t>
  </si>
  <si>
    <t>SOUTHEAST_OF</t>
  </si>
  <si>
    <t>位于…东南侧</t>
  </si>
  <si>
    <t>反向关系为NORTHWEST_OF</t>
  </si>
  <si>
    <t>SOUTHWEST_OF</t>
  </si>
  <si>
    <t>位于…西南侧</t>
  </si>
  <si>
    <t>反向关系为NORTHEAST_OF</t>
  </si>
  <si>
    <t>OPPOSITE_ACROSS_ROAD</t>
  </si>
  <si>
    <t>隔街相对</t>
  </si>
  <si>
    <t>中间道路编号写入关系属性</t>
  </si>
  <si>
    <t>OPPOSITE_ACROSS_CANAL</t>
  </si>
  <si>
    <t>隔渠相对</t>
  </si>
  <si>
    <t>中间水渠编号写入关系属性</t>
  </si>
  <si>
    <t>TC-SPATIAL-</t>
  </si>
  <si>
    <t>坊间空间关系/关系表</t>
  </si>
  <si>
    <t>MAP-</t>
  </si>
  <si>
    <t>稳定英文规则编号</t>
  </si>
  <si>
    <t>朱雀门街中心坐标系</t>
  </si>
  <si>
    <t>坐标基准/坊功能表</t>
  </si>
  <si>
    <t>x=0为朱雀门街中线，东正西负；y由北向南递增</t>
  </si>
  <si>
    <t>coordinate_field</t>
  </si>
  <si>
    <t>坊中心横坐标</t>
  </si>
  <si>
    <t>取值为-5至-1或1至5；0保留给朱雀门街中线</t>
  </si>
  <si>
    <t>坊中心纵坐标</t>
  </si>
  <si>
    <t>皇城南第一排为1，向南至9；北部可为0至-3</t>
  </si>
  <si>
    <t>road_id_rule</t>
  </si>
  <si>
    <t>NS-MAIN</t>
  </si>
  <si>
    <t>南北向道路主编号</t>
  </si>
  <si>
    <t>道路轴线/道路分级表</t>
  </si>
  <si>
    <t>TC-ROAD-0001—0014，按同事完整道路表固定</t>
  </si>
  <si>
    <t>EW-MAIN</t>
  </si>
  <si>
    <t>东西向道路主编号</t>
  </si>
  <si>
    <t>TC-ROAD-0015—0025，自北向南第一至第十一街</t>
  </si>
  <si>
    <t>APPEND</t>
  </si>
  <si>
    <t>其他道路追加编号</t>
  </si>
  <si>
    <t>从TC-ROAD-0026起追加；已用编号不得回收</t>
  </si>
  <si>
    <t>实体表/坊内平面规则</t>
  </si>
  <si>
    <t>可调整的坊内空间组织规则实体</t>
  </si>
  <si>
    <t>研究结论</t>
  </si>
  <si>
    <t>实体表/研究结论表</t>
  </si>
  <si>
    <t>现代研究中的解释性知识实体</t>
  </si>
  <si>
    <t>EXPLAINS</t>
  </si>
  <si>
    <t>解释</t>
  </si>
  <si>
    <t>研究结论指向被解释对象</t>
  </si>
  <si>
    <t>INTERPRETS</t>
  </si>
  <si>
    <t>阐释</t>
  </si>
  <si>
    <t>研究结论指向被阐释对象</t>
  </si>
  <si>
    <t>PROPOSED_BY</t>
  </si>
  <si>
    <t>由…提出</t>
  </si>
  <si>
    <t>研究结论指向作者实体</t>
  </si>
  <si>
    <t>BASED_ON</t>
  </si>
  <si>
    <t>基于</t>
  </si>
  <si>
    <t>结论指向基础事实或材料</t>
  </si>
  <si>
    <t>AGREES_WITH</t>
  </si>
  <si>
    <t>支持另一结论</t>
  </si>
  <si>
    <t>研究结论之间的同向关系</t>
  </si>
  <si>
    <t>CONTRADICTS</t>
  </si>
  <si>
    <t>与…冲突</t>
  </si>
  <si>
    <t>研究结论之间的分歧关系</t>
  </si>
  <si>
    <t>REFINES</t>
  </si>
  <si>
    <t>细化</t>
  </si>
  <si>
    <t>研究结论对另一结论作限定或细化</t>
  </si>
  <si>
    <t>claim_status</t>
  </si>
  <si>
    <t>AUTHOR_PROPOSAL</t>
  </si>
  <si>
    <t>作者主张</t>
  </si>
  <si>
    <t>论文作者明确提出的观点</t>
  </si>
  <si>
    <t>CONSENSUS</t>
  </si>
  <si>
    <t>学界共识</t>
  </si>
  <si>
    <t>须有多来源或综述支持</t>
  </si>
  <si>
    <t>CONTESTED</t>
  </si>
  <si>
    <t>争议观点</t>
  </si>
  <si>
    <t>存在相互竞争的解释</t>
  </si>
  <si>
    <t>PROJECT_INFERENCE</t>
  </si>
  <si>
    <t>项目推断</t>
  </si>
  <si>
    <t>项目组归纳，必须明确标示</t>
  </si>
  <si>
    <t>TC-CLAIM-</t>
  </si>
  <si>
    <t>schema_version</t>
  </si>
  <si>
    <t>TC-SCHEMA-1.3</t>
  </si>
  <si>
    <t>当前表结构版本</t>
  </si>
  <si>
    <t>填写说明/全部数据表</t>
  </si>
  <si>
    <t>基础事实—研究解释—科普表达＋长安城大事记</t>
  </si>
  <si>
    <t>sheet_role</t>
  </si>
  <si>
    <t>RULE</t>
  </si>
  <si>
    <t>规则表</t>
  </si>
  <si>
    <t>填写说明/代码对照/转换规则</t>
  </si>
  <si>
    <t>规定结构与转换，不直接作为知识数据</t>
  </si>
  <si>
    <t>EVIDENCE</t>
  </si>
  <si>
    <t>证据表</t>
  </si>
  <si>
    <t>来源表/史料片段</t>
  </si>
  <si>
    <t>保存来源与原文证据</t>
  </si>
  <si>
    <t>TOPIC_INPUT</t>
  </si>
  <si>
    <t>专题录入表</t>
  </si>
  <si>
    <t>八张空间专题表/研究结论表</t>
  </si>
  <si>
    <t>八张核心空间专题表、两张跨专题辅助表和研究结论表</t>
  </si>
  <si>
    <t>GRAPH_OUTPUT</t>
  </si>
  <si>
    <t>图谱输出表</t>
  </si>
  <si>
    <t>实体表/关系表</t>
  </si>
  <si>
    <t>由专题数据转换生成，供平台导入</t>
  </si>
  <si>
    <t>REFERENCE</t>
  </si>
  <si>
    <t>辅助基准表</t>
  </si>
  <si>
    <t>坐标基准/道路轴线</t>
  </si>
  <si>
    <t>只提供坐标和编号规则</t>
  </si>
  <si>
    <t>地形单元</t>
  </si>
  <si>
    <t>实体表/地形表</t>
  </si>
  <si>
    <t>地貌、台塬、坡地等可引用空间对象</t>
  </si>
  <si>
    <t>科普内容</t>
  </si>
  <si>
    <t>实体表/科普内容表</t>
  </si>
  <si>
    <t>经过科学与编辑审核的公众表达单元</t>
  </si>
  <si>
    <t>覆盖</t>
  </si>
  <si>
    <t>关系表/地形表</t>
  </si>
  <si>
    <t>地形单元指向其覆盖区域或对象</t>
  </si>
  <si>
    <t>TC-TERRAIN-</t>
  </si>
  <si>
    <t>地形</t>
  </si>
  <si>
    <t>地形表/实体表</t>
  </si>
  <si>
    <t>TC-BUILDING-</t>
  </si>
  <si>
    <t>重要建筑与设施</t>
  </si>
  <si>
    <t>重要建筑与设施表/实体表</t>
  </si>
  <si>
    <t>TC-POPULAR-</t>
  </si>
  <si>
    <t>科普内容表/实体表</t>
  </si>
  <si>
    <t>TC-POPLINK-</t>
  </si>
  <si>
    <t>科普依据关联/关系表</t>
  </si>
  <si>
    <t>content_type</t>
  </si>
  <si>
    <t>Q_AND_A</t>
  </si>
  <si>
    <t>问答</t>
  </si>
  <si>
    <t>问题与答案</t>
  </si>
  <si>
    <t>STORY</t>
  </si>
  <si>
    <t>故事</t>
  </si>
  <si>
    <t>人物或事件化叙事</t>
  </si>
  <si>
    <t>ARTICLE</t>
  </si>
  <si>
    <t>科普文章</t>
  </si>
  <si>
    <t>图文或长文</t>
  </si>
  <si>
    <t>MAP_GUIDE</t>
  </si>
  <si>
    <t>地图导览</t>
  </si>
  <si>
    <t>结合交互地图的空间讲解</t>
  </si>
  <si>
    <t>ANIMATION_SCRIPT</t>
  </si>
  <si>
    <t>动画解说</t>
  </si>
  <si>
    <t>动画或视频脚本</t>
  </si>
  <si>
    <t>INTERACTIVE_TASK</t>
  </si>
  <si>
    <t>互动任务</t>
  </si>
  <si>
    <t>互动问答或探索任务</t>
  </si>
  <si>
    <t>support_role</t>
  </si>
  <si>
    <t>CORE_EVIDENCE</t>
  </si>
  <si>
    <t>核心证据</t>
  </si>
  <si>
    <t>直接支撑主要答案</t>
  </si>
  <si>
    <t>BACKGROUND_FACT</t>
  </si>
  <si>
    <t>背景事实</t>
  </si>
  <si>
    <t>帮助理解但不直接证明</t>
  </si>
  <si>
    <t>RESEARCH_EXPLANATION</t>
  </si>
  <si>
    <t>研究解释</t>
  </si>
  <si>
    <t>现代论文中的分析或推论</t>
  </si>
  <si>
    <t>COUNTEREXAMPLE</t>
  </si>
  <si>
    <t>反例或例外</t>
  </si>
  <si>
    <t>限制科普结论的适用范围</t>
  </si>
  <si>
    <t>CONTESTED_VIEW</t>
  </si>
  <si>
    <t>并列展示不同学术解释</t>
  </si>
  <si>
    <t>历史大事记事件</t>
  </si>
  <si>
    <t>实体表/长安城大事记表</t>
  </si>
  <si>
    <t>面向公众时间轴的精选重要事件实体</t>
  </si>
  <si>
    <t>TC-TIMELINE-</t>
  </si>
  <si>
    <t>长安城大事记</t>
  </si>
  <si>
    <t>四位流水号；0001—0099为公共稳定编号</t>
  </si>
  <si>
    <t>event_type</t>
  </si>
  <si>
    <t>CITY_FOUNDING</t>
  </si>
  <si>
    <t>建城与定都</t>
  </si>
  <si>
    <t>建城、迁都、定都及首都地位变化</t>
  </si>
  <si>
    <t>URBAN_CONSTRUCTION</t>
  </si>
  <si>
    <t>城市建设</t>
  </si>
  <si>
    <t>宫城、道路、水利及重大城市工程</t>
  </si>
  <si>
    <t>POLITICAL_CHANGE</t>
  </si>
  <si>
    <t>政治变局</t>
  </si>
  <si>
    <t>政变、改朝换代及重大政治转折</t>
  </si>
  <si>
    <t>WAR</t>
  </si>
  <si>
    <t>战争与动乱</t>
  </si>
  <si>
    <t>战争、陷城及军事动乱</t>
  </si>
  <si>
    <t>DISASTER</t>
  </si>
  <si>
    <t>灾害</t>
  </si>
  <si>
    <t>严重影响城市与居民的自然或人为灾害</t>
  </si>
  <si>
    <t>TRANSPORT</t>
  </si>
  <si>
    <t>交通与交流</t>
  </si>
  <si>
    <t>交通线路、使节往来及对外交流节点</t>
  </si>
  <si>
    <t>SOCIAL_POLICY</t>
  </si>
  <si>
    <t>制度与社会</t>
  </si>
  <si>
    <t>直接影响长安居民生活的重要制度或政策</t>
  </si>
  <si>
    <t>CAPITAL_STATUS</t>
  </si>
  <si>
    <t>都城地位变化</t>
  </si>
  <si>
    <t>长安作为首都、陪都或政治中心的变化</t>
  </si>
  <si>
    <t>OCCURRED_AT</t>
  </si>
  <si>
    <t>发生于</t>
  </si>
  <si>
    <t>大事记事件指向主要发生地点</t>
  </si>
  <si>
    <t>影响</t>
  </si>
  <si>
    <t>大事记事件指向受影响的城市实体</t>
  </si>
  <si>
    <t>地形数据表（地形单元、位置、高程与坡向）</t>
  </si>
  <si>
    <t>带 * 的字段为必填；本表只保存可核查的地形事实。“地形为何影响城市布局”等解释写入研究结论表。</t>
  </si>
  <si>
    <t>terrain_key*</t>
  </si>
  <si>
    <t>terrain_type*</t>
  </si>
  <si>
    <t>location_text*</t>
  </si>
  <si>
    <t>elevation_min_m</t>
  </si>
  <si>
    <t>elevation_max_m</t>
  </si>
  <si>
    <t>slope_direction</t>
  </si>
  <si>
    <t>slope_value</t>
  </si>
  <si>
    <t>geomorphology_description</t>
  </si>
  <si>
    <t>重要建筑与设施表（宫殿、寺观、官署、市场与公共设施）</t>
  </si>
  <si>
    <t>带 * 的字段为必填；重要性由项目收录范围决定并在note中说明。市场使用entity_type=Market，其他建筑设施通常使用Building。</t>
  </si>
  <si>
    <t>building_key*</t>
  </si>
  <si>
    <t>building_type*</t>
  </si>
  <si>
    <t>located_fang_key</t>
  </si>
  <si>
    <t>related_person_keys</t>
  </si>
  <si>
    <t>related_organization_keys</t>
  </si>
  <si>
    <t>rebuilt_year</t>
  </si>
  <si>
    <t>科普内容表（问题、答案、故事与多媒介版本）</t>
  </si>
  <si>
    <t>本表保存公众表达，不直接作为历史事实。正式发布前必须通过科学审核，并通过“科普依据关联”连接研究结论和基础证据。</t>
  </si>
  <si>
    <t>content_key*</t>
  </si>
  <si>
    <t>question</t>
  </si>
  <si>
    <t>short_answer*</t>
  </si>
  <si>
    <t>full_text*</t>
  </si>
  <si>
    <t>content_type*</t>
  </si>
  <si>
    <t>target_audience*</t>
  </si>
  <si>
    <t>difficulty_level</t>
  </si>
  <si>
    <t>media_form</t>
  </si>
  <si>
    <t>narrative_perspective</t>
  </si>
  <si>
    <t>interaction_prompt</t>
  </si>
  <si>
    <t>version*</t>
  </si>
  <si>
    <t>generated_by</t>
  </si>
  <si>
    <t>science_review_status*</t>
  </si>
  <si>
    <t>editorial_review_status*</t>
  </si>
  <si>
    <t>reviewer</t>
  </si>
  <si>
    <t>created_date</t>
  </si>
  <si>
    <t>updated_date</t>
  </si>
  <si>
    <t>科普依据关联表（科普内容—事实—研究结论—证据）</t>
  </si>
  <si>
    <t>一行只连接一项依据；同一科普内容可对应多行。不要把多个编号拼在一个单元格中。</t>
  </si>
  <si>
    <t>link_key*</t>
  </si>
  <si>
    <t>evidence_object_type*</t>
  </si>
  <si>
    <t>evidence_key*</t>
  </si>
  <si>
    <t>support_role*</t>
  </si>
  <si>
    <t>source_layer*</t>
  </si>
  <si>
    <t>display_order</t>
  </si>
  <si>
    <t>public_explanation</t>
  </si>
  <si>
    <t>is_visible*</t>
  </si>
  <si>
    <t>timeline_key*</t>
  </si>
  <si>
    <t>year_ce*</t>
  </si>
  <si>
    <t>date_display*</t>
  </si>
  <si>
    <t>dynasty*</t>
  </si>
  <si>
    <t>reign_title</t>
  </si>
  <si>
    <t>event_name*</t>
  </si>
  <si>
    <t>event_type*</t>
  </si>
  <si>
    <t>summary*</t>
  </si>
  <si>
    <t>historical_significance*</t>
  </si>
  <si>
    <t>changan_impact*</t>
  </si>
  <si>
    <t>TC-TIMELINE-0001</t>
  </si>
  <si>
    <t>582—583年（开皇二年至三年）</t>
  </si>
  <si>
    <t>隋</t>
  </si>
  <si>
    <t>开皇</t>
  </si>
  <si>
    <t>营建大兴城并迁入新都</t>
  </si>
  <si>
    <t>隋文帝于开皇二年在旧长安城东南、龙首原一带营建新都并命名为大兴城，开皇三年正式入居新都。</t>
  </si>
  <si>
    <t>奠定隋唐长安城的城市基础，开启此后三百余年的都城发展。</t>
  </si>
  <si>
    <t>新的宫城、皇城、外郭城及里坊格局由此形成。</t>
  </si>
  <si>
    <t>TC-CHUNK-2112;TC-CHUNK-2184;TC-CHUNK-2185;TC-CHUNK-2186</t>
  </si>
  <si>
    <t>《隋书》核年表明：582年为营建、命名阶段，583年三月正式入新都；year_ce保留事件起始年582。高颎总领大纲，具体规划主要出自宇文恺。来源版本与扫描本页码仍待人工复核。</t>
  </si>
  <si>
    <t>TC-TIMELINE-0002</t>
  </si>
  <si>
    <t>617—618年（义宁元年至武德元年）</t>
  </si>
  <si>
    <t>隋—唐</t>
  </si>
  <si>
    <t>义宁—武德</t>
  </si>
  <si>
    <t>李渊攻占长安并建立唐朝</t>
  </si>
  <si>
    <t>李渊于617年攻克长安，次年称帝建唐，并以长安为都。</t>
  </si>
  <si>
    <t>长安由隋都大兴城转为唐王朝首都，成为新王朝政治中心。</t>
  </si>
  <si>
    <t>城市基本格局得到继承，名称、统治机构和都城身份发生转换。</t>
  </si>
  <si>
    <t>TC-CHUNK-2113;TC-CHUNK-2172;TC-CHUNK-2189;TC-CHUNK-2190;TC-CHUNK-2191</t>
  </si>
  <si>
    <t>617年十一月丙辰攻克长安，618年五月戊午隋帝逊位、甲子李渊即皇帝位；两阶段属于连续的建国与都城身份转换过程，故保留为一条跨年事件。</t>
  </si>
  <si>
    <t>TC-TIMELINE-0003</t>
  </si>
  <si>
    <t>626年（武德九年六月初四）</t>
  </si>
  <si>
    <t>唐</t>
  </si>
  <si>
    <t>武德</t>
  </si>
  <si>
    <t>玄武门之变</t>
  </si>
  <si>
    <t>李世民在太极宫玄武门发动政变，随后成为皇太子并即位。</t>
  </si>
  <si>
    <t>改变唐初最高权力归属，为贞观时期的政治格局奠定基础。</t>
  </si>
  <si>
    <t>太极宫北门成为决定王朝权力交替的关键政治空间。</t>
  </si>
  <si>
    <t>TC-CHUNK-2114;TC-CHUNK-2173;TC-CHUNK-2192;TC-CHUNK-2193</t>
  </si>
  <si>
    <t>武德九年六月初四发生于太极宫北面玄武门；与大明宫、禁苑同名门区分。六月立李世民为皇太子，八月即位，保留为同一权力转换事件。</t>
  </si>
  <si>
    <t>TC-TIMELINE-0004</t>
  </si>
  <si>
    <t>690年（天授元年九月初九）</t>
  </si>
  <si>
    <t>武周</t>
  </si>
  <si>
    <t>天授</t>
  </si>
  <si>
    <t>武则天改唐为周</t>
  </si>
  <si>
    <t>武则天称帝改国号为周，并长期以洛阳为政治中心。</t>
  </si>
  <si>
    <t>中国历史上唯一的女皇帝建立武周政权，唐的统治一度中断。</t>
  </si>
  <si>
    <t>长安仍具重要都城地位，但中央政治重心阶段性转向洛阳。</t>
  </si>
  <si>
    <t>TC-CHUNK-2115;TC-CHUNK-2174;TC-CHUNK-2194;TC-CHUNK-2195</t>
  </si>
  <si>
    <t>九月初九壬午改国号为周、改元天授；武氏七庙立于神都。事件重点为长安都城地位阶段性下降，故event_type保留CAPITAL_STATUS。</t>
  </si>
  <si>
    <t>TC-TIMELINE-0005</t>
  </si>
  <si>
    <t>756年（天宝十五载／至德元载）</t>
  </si>
  <si>
    <t>天宝—至德</t>
  </si>
  <si>
    <t>安史之乱中长安陷落</t>
  </si>
  <si>
    <t>潼关失守后，唐玄宗离开长安；十日后，长安被安禄山军占领。</t>
  </si>
  <si>
    <t>安史之乱由边镇叛乱演变为王朝核心区危机，唐由盛转衰。</t>
  </si>
  <si>
    <t>京师秩序崩溃，居民逃散，长安首次在唐代遭到大规模军事占领。</t>
  </si>
  <si>
    <t>TC-CHUNK-2116;TC-CHUNK-2175;TC-CHUNK-2181;TC-CHUNK-2187;TC-CHUNK-2188</t>
  </si>
  <si>
    <t>玄宗离京日期存在一日异文：《旧唐书·玄宗纪》与《资治通鉴》均记乙未，按六月癸未朔推为六月十三日；《旧唐书·杨国忠传》作六月十二日。《新唐书》纪事顺序支持十三日。项目暂采用六月十三日，异文保留并待权威点校本复核。后续可另设757年收复长安节点。</t>
  </si>
  <si>
    <t>TC-TIMELINE-0006</t>
  </si>
  <si>
    <t>763年（广德元年十月十四日）</t>
  </si>
  <si>
    <t>广德</t>
  </si>
  <si>
    <t>吐蕃攻占长安</t>
  </si>
  <si>
    <t>吐蕃军进入长安，唐代宗出逃；城内府库、市里和住宅遭到破坏。</t>
  </si>
  <si>
    <t>显示安史之乱后唐朝边防和中央控制力显著下降。</t>
  </si>
  <si>
    <t>长安短期失守并遭焚掠，城市人口避入山谷，社会秩序严重受损。</t>
  </si>
  <si>
    <t>TC-CHUNK-2117;TC-CHUNK-2176;TC-CHUNK-2196;TC-CHUNK-2197</t>
  </si>
  <si>
    <t>十月戊寅吐蕃占领京师并拥立广武王承宏；吐蕃旋即溃退，郭子仪收复京城。保留为长安短期失守与城市破坏节点。</t>
  </si>
  <si>
    <t>TC-TIMELINE-0007</t>
  </si>
  <si>
    <t>783年（建中四年十月初二）</t>
  </si>
  <si>
    <t>建中</t>
  </si>
  <si>
    <t>泾原兵变</t>
  </si>
  <si>
    <t>途经长安的泾原军因犒赏不满发动兵变，唐德宗仓促出逃。</t>
  </si>
  <si>
    <t>兵变几乎使唐王朝覆亡，反映中央财政、军队与藩镇关系的深层危机。</t>
  </si>
  <si>
    <t>长安再次被军队占据，宫城和城市居民卷入政权争夺。</t>
  </si>
  <si>
    <t>TC-CHUNK-2118;TC-CHUNK-2177;TC-CHUNK-2198;TC-CHUNK-2199</t>
  </si>
  <si>
    <t>建中四年十月初二泾原军在浐水倒戈，进逼丹凤阙，德宗出奔奉天。事件与784年李晟收复长安可分别设置。</t>
  </si>
  <si>
    <t>TC-TIMELINE-0008</t>
  </si>
  <si>
    <t>881年1月8日（广明元年十二月初五）</t>
  </si>
  <si>
    <t>唐／大齐</t>
  </si>
  <si>
    <t>广明／金统</t>
  </si>
  <si>
    <t>黄巢军占领长安</t>
  </si>
  <si>
    <t>黄巢军进入长安，随后在大明宫含元殿建立大齐政权。</t>
  </si>
  <si>
    <t>唐末农民战争进入顶点，唐中央的都城控制和政治权威受到重创。</t>
  </si>
  <si>
    <t>长安成为双方反复争夺的战场，宫殿、街市和居民生活持续受战争冲击。</t>
  </si>
  <si>
    <t>TC-CHUNK-2119;TC-CHUNK-2178;TC-CHUNK-2182;TC-CHUNK-2200;TC-CHUNK-2201</t>
  </si>
  <si>
    <t>广明元年十二月初五甲申（公历881年1月8日）黄巢军进入长安；壬辰即位，按庚辰朔推为十三日。现代专著作十二日，作为异文保留。883年退出长安可另设节点。</t>
  </si>
  <si>
    <t>TC-TIMELINE-0009</t>
  </si>
  <si>
    <t>904年（天复四年／天祐元年）</t>
  </si>
  <si>
    <t>天复—天祐</t>
  </si>
  <si>
    <t>朱温强迫迁都并拆毁长安</t>
  </si>
  <si>
    <t>朱温强迫唐昭宗及百官、士民迁往洛阳，并拆毁长安宫室、官署和民宅。</t>
  </si>
  <si>
    <t>唐朝政治中心被强制移出长安，标志王朝进入最后覆亡阶段。</t>
  </si>
  <si>
    <t>长安遭到系统性拆毁，建筑材料被运走，城市从帝国首都沦为丘墟。</t>
  </si>
  <si>
    <t>TC-CHUNK-2120;TC-CHUNK-2179;TC-CHUNK-2202</t>
  </si>
  <si>
    <t>天祐元年朱温强迫迁都，按籍迁徙长安居民并拆屋取材；《资治通鉴》进一步记宫室、百司和民居皆毁，故保留为城市形态核心节点。</t>
  </si>
  <si>
    <t>TC-TIMELINE-0010</t>
  </si>
  <si>
    <t>907年（天祐四年／开平元年）</t>
  </si>
  <si>
    <t>唐—后梁</t>
  </si>
  <si>
    <t>天祐—开平</t>
  </si>
  <si>
    <t>唐朝灭亡</t>
  </si>
  <si>
    <t>唐昭宣帝被迫退位，朱温建立后梁，延续近三百年的唐朝结束。</t>
  </si>
  <si>
    <t>中国历史进入五代十国时期，政治中心与王朝格局发生重组。</t>
  </si>
  <si>
    <t>长安失去全国性首都地位，隋唐长安作为帝国都城的时代终结。</t>
  </si>
  <si>
    <t>TC-CHUNK-2121;TC-CHUNK-2180;TC-CHUNK-2183;TC-CHUNK-2203</t>
  </si>
  <si>
    <t>907年三月《资治通鉴》记甲辰降禅位御札；四月《旧唐书》《新唐书》记甲子正式逊位行礼。两者是禅让程序的连续阶段，不构成日期冲突。</t>
  </si>
  <si>
    <t>TC-TIMELINE-0011</t>
  </si>
  <si>
    <t>648—652年（贞观二十二年至永徽三年）</t>
  </si>
  <si>
    <t>贞观—永徽</t>
  </si>
  <si>
    <t>大慈恩寺建立与大雁塔初建</t>
  </si>
  <si>
    <t>高宗为追念文德皇后建立大慈恩寺；玄奘主持译经，并于寺西院建塔保存西域经像。</t>
  </si>
  <si>
    <t>形成国家佛教、译经活动和中外文化交流的重要空间节点，大雁塔后来成为长安代表性地标。</t>
  </si>
  <si>
    <t>晋昌坊出现大型国家寺院和塔院，宗教、教育、游赏及城市景观功能在此汇集。</t>
  </si>
  <si>
    <t>TC-CHUNK-2204;TC-CHUNK-2205</t>
  </si>
  <si>
    <t>648年建寺与652年建塔属于同一寺院空间形成过程，合并为跨年事件；现有总表尚无独立“大雁塔”实体，暂只关联大慈恩寺，不重复建实体。</t>
  </si>
  <si>
    <t>TC-TIMELINE-0012</t>
  </si>
  <si>
    <t>662年以后（龙朔二年以后）</t>
  </si>
  <si>
    <t>龙朔</t>
  </si>
  <si>
    <t>扩建大明宫并形成新的政治中心</t>
  </si>
  <si>
    <t>高宗于龙朔二年大规模修建大明宫并改名蓬莱宫，此后唐代皇帝多在东内居住和处理政务。</t>
  </si>
  <si>
    <t>长安最高政治空间由太极宫为主逐渐转向地势更高、规模更大的大明宫，重塑宫城体系。</t>
  </si>
  <si>
    <t>大明宫与丹凤门街、中枢官署及北部禁军空间共同形成新的城市政治轴线。</t>
  </si>
  <si>
    <t>TC-CHUNK-2206;TC-CHUNK-2207</t>
  </si>
  <si>
    <t>634—635年永安宫初建作为前史写入说明；主时间轴采用662年大修及政治中心转移节点，避免重复拆分。</t>
  </si>
  <si>
    <t>TC-TIMELINE-0013</t>
  </si>
  <si>
    <t>714—728年（开元二年至十六年）</t>
  </si>
  <si>
    <t>开元</t>
  </si>
  <si>
    <t>兴庆宫建立、扩建并开始听政</t>
  </si>
  <si>
    <t>玄宗将隆庆旧邸改建为兴庆宫，后扩入永嘉、胜业两坊部分土地并设置朝堂，至开元十六年开始在此听政。</t>
  </si>
  <si>
    <t>兴庆宫成为继太极宫、大明宫之后的重要宫廷政治空间，体现皇子旧宅向国家宫苑的转化。</t>
  </si>
  <si>
    <t>原有坊宅和相邻坊地被纳入宫苑，城市东部形成连接大明宫、兴庆宫和曲江的新政治与游幸空间。</t>
  </si>
  <si>
    <t>TC-CHUNK-2208;TC-CHUNK-2209;TC-CHUNK-2210</t>
  </si>
  <si>
    <t>将714年置宫、726年扩建和728年听政合并为一个空间形成过程，避免按工程阶段拆成多条。</t>
  </si>
  <si>
    <t>TC-TIMELINE-0014</t>
  </si>
  <si>
    <t>845年（会昌五年）</t>
  </si>
  <si>
    <t>会昌</t>
  </si>
  <si>
    <t>会昌毁佛重组长安寺院空间</t>
  </si>
  <si>
    <t>唐武宗下令大规模裁撤佛寺、令僧尼还俗并处置寺产；长安两街仅保留少数寺院。</t>
  </si>
  <si>
    <t>这是唐代宗教政策和社会资源配置的重大转折，影响寺院经济、人口身份与国家财政。</t>
  </si>
  <si>
    <t>大量寺院停止活动或改变用途，僧尼转为民户，长安宗教设施的数量和空间分布被系统重组。</t>
  </si>
  <si>
    <t>TC-CHUNK-2211;TC-CHUNK-2212;TC-CHUNK-2213</t>
  </si>
  <si>
    <t>事件重点是政策对长安寺院与居民身份的直接影响；846年宣宗恢复部分寺院作为后续调整写入说明，不另拆主节点。</t>
  </si>
  <si>
    <t>TC-TIMELINE-0015</t>
  </si>
  <si>
    <t>584年（开皇四年六月）</t>
  </si>
  <si>
    <t>开凿广通渠改善大兴城漕运</t>
  </si>
  <si>
    <t>隋文帝因渭水含沙、深浅不定而妨碍漕运，命宇文恺率水工开凿广通渠，自大兴城东通至潼关。</t>
  </si>
  <si>
    <t>广通渠改善关中东西向物资运输条件，为新都大兴城的粮食与物资供给提供重要交通基础。</t>
  </si>
  <si>
    <t>都城供给不再完全受渭河自然河道水情制约，长安与潼关方向的漕运联系得到加强。</t>
  </si>
  <si>
    <t>《资治通鉴》明确记开皇四年六月壬子开渠及“漕运通利，关内赖之”。因现有总表尚未确认广通渠稳定实体编号，本条只关联长安城范围，不新增实体或关系。</t>
  </si>
  <si>
    <t>TC-TIMELINE-0016</t>
  </si>
  <si>
    <t>705—706年（神龙元年至二年）</t>
  </si>
  <si>
    <t>神龙</t>
  </si>
  <si>
    <t>中宗复唐并返回长安</t>
  </si>
  <si>
    <t>中宗于神龙元年恢复唐国号，将神都恢复为东都；次年十月由东都返回西京长安。</t>
  </si>
  <si>
    <t>武周政权结束，唐朝恢复；皇帝返回长安使中央政治重心重新落在西京。</t>
  </si>
  <si>
    <t>长安结束武周时期政治中心相对东移的阶段，再次成为皇帝与中央朝廷主要驻地。</t>
  </si>
  <si>
    <t>TC-CHUNK-2215;TC-CHUNK-2216;TC-CHUNK-2217</t>
  </si>
  <si>
    <t>国号恢复发生于705年二月，车驾返回长安发生于706年十月；两者共同完成武周以后长安都城地位的恢复，故合并为一条跨年事件，并与690年都城重心东移节点形成闭环。</t>
  </si>
  <si>
    <t>TC-TIMELINE-0017</t>
  </si>
  <si>
    <t>757年（至德二载九月至十月）</t>
  </si>
  <si>
    <t>至德</t>
  </si>
  <si>
    <t>唐军收复长安并恢复朝廷驻京</t>
  </si>
  <si>
    <t>广平王李俶统率唐军及回纥等援军在香积寺一带击败叛军，次日收复长安；十月唐肃宗返回京城。</t>
  </si>
  <si>
    <t>唐朝重新控制西京，安史之乱的战略形势发生重要逆转，并为继续收复洛阳创造条件。</t>
  </si>
  <si>
    <t>长安结束叛军占领，居民迎接朝廷返回；但宗庙等城市设施已遭焚毁，政治秩序进入恢复阶段。</t>
  </si>
  <si>
    <t>TC-CHUNK-2218;TC-CHUNK-2219;TC-CHUNK-2220</t>
  </si>
  <si>
    <t>至德二载九月壬寅香积寺之战，癸卯收复西京；十月丁卯肃宗入长安。与756年陷落构成“失守—收复”闭环。回纥参战是胜利的重要因素，但香积寺尚无已确认稳定实体编号，暂不新增或误连实体。</t>
  </si>
  <si>
    <t>TC-TIMELINE-0018</t>
  </si>
  <si>
    <t>784年（兴元元年五月二十八日）</t>
  </si>
  <si>
    <t>兴元</t>
  </si>
  <si>
    <t>李晟收复长安并恢复城市秩序</t>
  </si>
  <si>
    <t>李晟率军由光泰门、苑北方向攻入长安，击溃朱泚政权；入城后严禁扰民并组织恢复京城秩序。</t>
  </si>
  <si>
    <t>唐朝结束泾原兵变以来的首都危机，重新控制长安，中央政权转危为安。</t>
  </si>
  <si>
    <t>官军避开坊市狭窄区域而从苑北突破，并以军纪保护居民与市场，长安较快恢复朝廷管理。</t>
  </si>
  <si>
    <t>TC-CHUNK-2221;TC-CHUNK-2222;TC-CHUNK-2223</t>
  </si>
  <si>
    <t>与783年泾原兵变构成“失守—收复”闭环。李晟明确选择避开坊市、直攻苑北，以减少居民惊扰和宫阙破坏，是城市空间与军事决策结合的重要节点。</t>
  </si>
  <si>
    <t>TC-TIMELINE-0019</t>
  </si>
  <si>
    <t>835年（太和九年十一月二十一日）</t>
  </si>
  <si>
    <t>太和</t>
  </si>
  <si>
    <t>甘露之变及神策军大搜捕</t>
  </si>
  <si>
    <t>唐文宗与李训等谋划诛除宦官，因左金吾仗所谓“甘露”暴露而失败；神策军随后在宫城和长安城内搜捕杀戮。</t>
  </si>
  <si>
    <t>政变失败后宦官进一步控制皇帝与朝政，成为中晚唐中央政治恶化的重要标志。</t>
  </si>
  <si>
    <t>大明宫含元殿、金吾仗及宫城诸司成为冲突中心，杀戮和搜捕扩散至坊里街衢，官僚体系与居民生活均遭冲击。</t>
  </si>
  <si>
    <t>TC-BUILDING-2014;TC-BUILDING-2184;TC-AREA-2000;TC-AREA-0003</t>
  </si>
  <si>
    <t>TC-CHUNK-2224;TC-CHUNK-2225;TC-CHUNK-2226</t>
  </si>
  <si>
    <t>事件不仅是宫廷权力斗争：史料明确记神策军搜城、诸司吏卒与入内贩卖者死亡、街衢剽掠和居民相杀，符合“政治变局直接冲击城市秩序”的入选标准。</t>
  </si>
  <si>
    <t>TC-TIMELINE-0020</t>
  </si>
  <si>
    <t>883年（中和三年四月）</t>
  </si>
  <si>
    <t>中和／金统</t>
  </si>
  <si>
    <t>唐军再度收复长安，城市严重残破</t>
  </si>
  <si>
    <t>李克用等诸军击败黄巢军并由光泰门进入长安，黄巢焚烧宫室后经蓝田撤离；入城官军又发生暴掠。</t>
  </si>
  <si>
    <t>大齐政权失去长安据点，唐末农民战争的战略局势转折，但唐朝恢复的首都控制已十分脆弱。</t>
  </si>
  <si>
    <t>长期战争、纵火和官军暴掠使宫室、住宅及居民财产遭到严重破坏，长安虽被收复却难以恢复昔日城市规模。</t>
  </si>
  <si>
    <t>TC-CHUNK-2227;TC-CHUNK-2228;TC-CHUNK-2229</t>
  </si>
  <si>
    <t>《旧唐书》纪为四月庚辰收复京城，当前《资治通鉴》电子本文字作甲辰，纪日存在版本或电子文本差异；主表只稳定到四月，不强定日。与881年黄巢占领长安构成“占领—退出/收复”闭环。</t>
  </si>
  <si>
    <t>TC-TIMELINE-0021</t>
  </si>
  <si>
    <t>733年（开元二十一年）</t>
  </si>
  <si>
    <t>关中久雨致京师饥，太仓赈粮并推动漕运改革</t>
  </si>
  <si>
    <t>关中久雨损害农业，长安谷价飞涨并出现饥荒；朝廷出太仓米二百万石赈给，裴耀卿随后提出分段置仓、转漕入渭的改革方案。</t>
  </si>
  <si>
    <t>事件显示长安超大城市供给对关东漕粮和仓储体系的高度依赖，并促成唐代漕运组织的重要调整。</t>
  </si>
  <si>
    <t>粮价上涨直接威胁京师居民生计，太仓开仓与运粮改革是都城灾荒救济和长期粮食安全的联动反应。</t>
  </si>
  <si>
    <t>TC-CHUNK-2230;TC-CHUNK-2231;TC-CHUNK-2232</t>
  </si>
  <si>
    <t>由原候选中证据偏弱的876年京师饥替换为证据链更完整的733年节点；《资治通鉴》《旧唐书》《新唐书》三源互证。</t>
  </si>
  <si>
    <t>TC-TIMELINE-0022</t>
  </si>
  <si>
    <t>885—886年（中和五年至光启二年）</t>
  </si>
  <si>
    <t>中和／光启</t>
  </si>
  <si>
    <t>田令孜与藩镇冲突导致僖宗再度出奔</t>
  </si>
  <si>
    <t>田令孜与王重荣、李克用等冲突，沙苑之战后京畿再遭焚掠；僖宗自开远门出奔凤翔，继而被劫往兴元，朱玫则奉李煴在长安建立对立政权。</t>
  </si>
  <si>
    <t>事件标志着唐朝对首都与皇帝人身的控制进一步瓦解，长安一度成为军阀扶立对立政治中心的空间。</t>
  </si>
  <si>
    <t>内战与乱兵焚掠让黄巢之乱后稍有修复的宫室、市里再度荒废，居民安全和城市供给继续恶化。</t>
  </si>
  <si>
    <t>TC-CHUNK-2233;TC-CHUNK-2234;TC-CHUNK-2235</t>
  </si>
  <si>
    <t>将出奔、李煴对立政权和长安再度焚掠合并为一个连续危机，避免把同一过程拆成多条。</t>
  </si>
  <si>
    <t>TC-TIMELINE-0023</t>
  </si>
  <si>
    <t>895年（乾宁二年五月至八月）</t>
  </si>
  <si>
    <t>乾宁</t>
  </si>
  <si>
    <t>三镇军队犯京，昭宗出奔石门</t>
  </si>
  <si>
    <t>王行瑜、李茂贞、韩建率军进入长安，杀害大臣并威胁废立；神策军随后在宫门附近交战纵火，昭宗离城出奔石门，八月方返京。</t>
  </si>
  <si>
    <t>藩镇可以直接带兵入都、操纵朝政和迫使皇帝离京，表明长安的都城安全与皇权秩序已近乎失效。</t>
  </si>
  <si>
    <t>坊市居民因军队入城逃匿，城中又发生剽掠；大量士民随驾逃难，途中出现伤亡。</t>
  </si>
  <si>
    <t>TC-CHUNK-2236;TC-CHUNK-2237;TC-CHUNK-2238</t>
  </si>
  <si>
    <t>仅收录会直接改变长安控制、宫城安全和居民迁移的部分，不展开河东战事。</t>
  </si>
  <si>
    <t>TC-TIMELINE-0024</t>
  </si>
  <si>
    <t>896年（乾宁三年六月至七月）</t>
  </si>
  <si>
    <t>李茂贞逼京，昭宗避居华州，长安修复成果被焚尽</t>
  </si>
  <si>
    <t>李茂贞进逼京畿并击败官军，昭宗离开长安转往华州；李茂贞入城后，自中和年间以来稍加修葺的宫室和市肆被焚烧殆尽。</t>
  </si>
  <si>
    <t>长安再次失去皇帝和中央政府的稳定驻地，且前一阶段城市修复成果被系统性摧毁，对后续904年迁都构成直接前史。</t>
  </si>
  <si>
    <t>兵火同时毁坏宫室和市肆，冲击行政、商业和居民生活；长安人口与功能进一步外流。</t>
  </si>
  <si>
    <t>TC-CHUNK-2239;TC-CHUNK-2240;TC-CHUNK-2241</t>
  </si>
  <si>
    <t>与895年临时出奔分开：本条的核心是长安宫室、市肆修复成果被焚尽和皇帝长期驻华州。</t>
  </si>
  <si>
    <t>TC-TIMELINE-0025</t>
  </si>
  <si>
    <t>901—903年（天复元年至三年）</t>
  </si>
  <si>
    <t>天复</t>
  </si>
  <si>
    <t>昭宗被劫往凤翔后返回长安</t>
  </si>
  <si>
    <t>宦官韩全诲等为避朱全忠逼京，陈兵宫中并迫昭宗离开长安前往凤翔；经朱全忠围凤翔和李茂贞屈服，昭宗903年返回长安，随后宦官集团被大规模诛除。</t>
  </si>
  <si>
    <t>事件标志着皇帝与首都控制权从宦官—岐国势力转入朱全忠手中，唐廷虽短暂返回长安，实际独立性已基本丧失。</t>
  </si>
  <si>
    <t>离京时禁中纵火，随后的长期围战、权力清洗与禁军改组持续破坏都城安全和社会秩序。</t>
  </si>
  <si>
    <t>TC-CHUNK-2242;TC-CHUNK-2243;TC-CHUNK-2244</t>
  </si>
  <si>
    <t>与904年强迫迁都区分：本条聚焦长安控制权的转移和昭宗两年外驻。</t>
  </si>
  <si>
    <t>批次负责人：成员A｜首批25条均已完成AI自主核验并标记“通过”；覆盖582—907年，详细原文及定位保存于来源表和史料片段表。封版日期：2026-08-23。</t>
    <phoneticPr fontId="49" type="noConversion"/>
  </si>
  <si>
    <t>TC-CHUNK-2245</t>
  </si>
  <si>
    <t>TC-CHUNK-2246</t>
  </si>
  <si>
    <t>十三年春正月戊子朔。……六月己卯朔……辛巳，引龙首渠水自通化门入，至太清宫前。</t>
  </si>
  <si>
    <t>贞元十三年，又自永嘉之西北，分支至大宁坊太清宫前。</t>
  </si>
  <si>
    <t>本纪第十三·德宗下</t>
  </si>
  <si>
    <t>西京·龙首渠</t>
  </si>
  <si>
    <t>卷十三</t>
  </si>
  <si>
    <t>CTP电子文本</t>
  </si>
  <si>
    <t>TC-CANAL-0001;TC-GATE-0006</t>
  </si>
  <si>
    <t>TC-CANAL-0001;TC-FANG-0003</t>
  </si>
  <si>
    <t>纪年与工程行为直接见《旧唐书》；省略号仅压缩同卷无关纪事。</t>
  </si>
  <si>
    <t>补充支线方向与坊里位置；电子核对：https://ctext.org/wiki.pl?chapter=58944&amp;if=en&amp;remap=gb</t>
  </si>
  <si>
    <t>TC-TIMELINE-0026</t>
  </si>
  <si>
    <t>797年（贞元十三年六月）</t>
  </si>
  <si>
    <t>贞元</t>
  </si>
  <si>
    <t>分引龙首渠水至太清宫前</t>
  </si>
  <si>
    <t>唐德宗贞元十三年六月，自通化门引龙首渠水入城，至太清宫前；《唐两京城坊考》进一步记为由永嘉坊西北分支至大宁坊太清宫前。</t>
  </si>
  <si>
    <t>表明中唐仍在利用并延伸既有城市水渠，持续维护长安宫观与城市空间的供水网络。</t>
  </si>
  <si>
    <t>龙首渠新增支线把通化门方向水系引至太清宫前，使东部入城水路与重要宫观空间形成新的供水联系。</t>
  </si>
  <si>
    <t>TC-CANAL-0001;TC-GATE-0006;TC-FANG-0003</t>
  </si>
  <si>
    <t>TC-CHUNK-2245;TC-CHUNK-2246</t>
  </si>
  <si>
    <t>第二批第1条；两源互证。797年是既有龙首渠的分支延伸，不是龙首渠初开。太清宫暂无稳定实体编号，本轮不新增，待宗教空间专题查重。</t>
  </si>
  <si>
    <t>长安城大事记正式总表：累计来源</t>
    <phoneticPr fontId="49" type="noConversion"/>
  </si>
  <si>
    <t>TC-CHUNK-2247</t>
  </si>
  <si>
    <t>龍首渠一名渡水渠，隋開皇三年開。自東南龍首堰下，支分滻水，北流至長樂坡……</t>
  </si>
  <si>
    <t>TC-CANAL-0001</t>
  </si>
  <si>
    <t>开渠年代与水源、入城方向直接记载。</t>
  </si>
  <si>
    <t>TC-CHUNK-2248</t>
  </si>
  <si>
    <t>永安渠，隋開皇三年開，亦謂之交渠。引交水西北流，入京城之南……又北流入苑，又北注於渭。</t>
  </si>
  <si>
    <t>西京·永安渠</t>
  </si>
  <si>
    <t>TC-CANAL-0002</t>
  </si>
  <si>
    <t>开渠年代、别名、水源与纵贯城西路线直接记载。</t>
  </si>
  <si>
    <t>TC-CHUNK-2249</t>
  </si>
  <si>
    <t>清明渠在永安渠東，亦隋開皇初開。引泬水自丈八溝分支……又北入宮城廣運門，注為南海，又北注為西海，又北注為北海。</t>
  </si>
  <si>
    <t>西京·清明渠</t>
  </si>
  <si>
    <t>仅定开皇初，不强定开皇三年；清明渠暂无全局稳定实体编号。</t>
  </si>
  <si>
    <t>TC-TIMELINE-0027</t>
  </si>
  <si>
    <t>开皇初至三年（约582—583年）</t>
  </si>
  <si>
    <t>开凿龙首渠、永安渠并形成都城主要引水系统</t>
  </si>
  <si>
    <t>开皇三年开凿龙首渠与永安渠；清明渠亦于开皇初开通。三渠分别从城东南、城南引水入大兴城，进入坊市、皇城、宫城和苑囿。</t>
  </si>
  <si>
    <t>三条主要引水干渠与新都营建同步形成，构成大兴—长安长期使用的城市供水骨架。</t>
  </si>
  <si>
    <t>渠水进入坊市、宫苑与宫城水体，为居民取水、园林灌溉和宫廷用水提供基础设施。</t>
  </si>
  <si>
    <t>TC-CANAL-0001;TC-CANAL-0002</t>
  </si>
  <si>
    <t>TC-CHUNK-2247;TC-CHUNK-2248;TC-CHUNK-2249</t>
  </si>
  <si>
    <t>与582—583年建城事件并行但单列为基础设施节点。龙首渠、永安渠确年583；清明渠仅定开皇初，不强行同年。</t>
  </si>
  <si>
    <t>TC-CHUNK-2250</t>
  </si>
  <si>
    <t>TC-CHUNK-2251</t>
  </si>
  <si>
    <t>西南隅，西明寺。……顯慶元年，高宗為孝敬太子病愈立寺。</t>
  </si>
  <si>
    <t>军将王抚及御史大夫王仲升顿兵自苑中入，椎鼓大呼，仲卿之师又入城，吐蕃皆奔走，乃收上都。郭子仪乘之，鼓行入长安，人心乃安。</t>
  </si>
  <si>
    <t>西京·延康坊</t>
  </si>
  <si>
    <t>列传第一百四十六上·吐蕃上</t>
  </si>
  <si>
    <t>卷一百九十六上</t>
  </si>
  <si>
    <t>西明寺建寺年份与建寺缘由直接记载；原电子文本个别字形已按通行寺名规范。</t>
  </si>
  <si>
    <t>直接记载吐蕃撤离、收复上都及郭子仪入城后人心安定。</t>
  </si>
  <si>
    <t>TC-TIMELINE-0028</t>
  </si>
  <si>
    <t>656年（显庆元年）</t>
  </si>
  <si>
    <t>显庆</t>
  </si>
  <si>
    <t>建立西明寺</t>
  </si>
  <si>
    <t>唐高宗显庆元年，为孝敬太子病愈，在延康坊旧宅基础上建立西明寺。</t>
  </si>
  <si>
    <t>西明寺是皇室主持营建的国家寺院，成为长安佛教教育、译经与中外文化交流的重要空间。</t>
  </si>
  <si>
    <t>大型国家寺院进入坊里空间，改变延康坊土地利用，并聚集僧侣、经籍与宗教活动。</t>
  </si>
  <si>
    <t>与大慈恩寺事件功能有别：本条用于国家寺院及宗教空间类型补充。西明寺实体编号待宗教空间专题统一复用。</t>
  </si>
  <si>
    <t>TC-TIMELINE-0029</t>
  </si>
  <si>
    <t>763年（广德元年十月）</t>
  </si>
  <si>
    <t>吐蕃撤离后郭子仪入长安恢复秩序</t>
  </si>
  <si>
    <t>吐蕃占领长安后，城内响应唐军，吐蕃撤离；郭子仪随后率军进入长安，稳定人心并恢复唐廷对都城的控制。</t>
  </si>
  <si>
    <t>该节点结束吐蕃对长安的短期占领，使唐朝重新控制首都，并显示都城秩序对军事与政治权威的高度依赖。</t>
  </si>
  <si>
    <t>吐蕃撤离和唐军入城结束占领状态，缓解居民恐慌，恢复城市行政与社会秩序。</t>
  </si>
  <si>
    <t>与“吐蕃攻占长安”构成失守—收复闭环，因结果与城市状态变化明确而单列。</t>
  </si>
  <si>
    <t>长安城大事记正式总表：累计史料片段（90条）</t>
    <phoneticPr fontId="49" type="noConversion"/>
  </si>
  <si>
    <t>长安城大事记正式总表（累计29条，按稳定编号追加）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</si>
</sst>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0"/>
    <numFmt numFmtId="179" formatCode="yyyy\-mm\-dd"/>
  </numFmts>
  <fonts count="50">
    <font>
      <sz val="11"/>
      <name val="Carlito"/>
    </font>
    <font>
      <b/>
      <sz val="11"/>
      <color rgb="FFFFFFFF"/>
      <name val="Carlito"/>
    </font>
    <font>
      <b/>
      <sz val="11"/>
      <color rgb="FF173F5F"/>
      <name val="Carlito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854D0E"/>
      <name val="Carlito"/>
    </font>
    <font>
      <i/>
      <sz val="11"/>
      <color rgb="FF173F5F"/>
      <name val="Carlito"/>
    </font>
    <font>
      <sz val="11"/>
      <color rgb="FF1F2937"/>
      <name val="Carlito"/>
    </font>
    <font>
      <b/>
      <sz val="14"/>
      <color rgb="FFFFFFFF"/>
      <name val="Carlito"/>
    </font>
    <font>
      <i/>
      <sz val="11"/>
      <color rgb="FF667085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i/>
      <sz val="10"/>
      <color rgb="FF6B4F00"/>
      <name val="Microsoft YaHei"/>
      <family val="2"/>
      <charset val="134"/>
    </font>
    <font>
      <b/>
      <sz val="10"/>
      <color rgb="FF6B4F00"/>
      <name val="Microsoft YaHei"/>
      <family val="2"/>
      <charset val="134"/>
    </font>
    <font>
      <i/>
      <sz val="9"/>
      <color rgb="FF475569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9"/>
      <color rgb="FF43515A"/>
      <name val="Microsoft YaHei"/>
      <family val="2"/>
      <charset val="134"/>
    </font>
    <font>
      <b/>
      <sz val="10"/>
      <color rgb="FF7A5B00"/>
      <name val="Microsoft YaHei"/>
      <family val="2"/>
      <charset val="134"/>
    </font>
    <font>
      <sz val="10"/>
      <color rgb="FF43515A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1"/>
      <color rgb="FF7A5B00"/>
      <name val="Microsoft YaHei"/>
      <family val="2"/>
      <charset val="134"/>
    </font>
    <font>
      <i/>
      <sz val="10"/>
      <color rgb="FF50616B"/>
      <name val="Microsoft YaHei"/>
      <family val="2"/>
      <charset val="134"/>
    </font>
    <font>
      <sz val="10"/>
      <color rgb="FF7A5B00"/>
      <name val="Microsoft YaHei"/>
      <family val="2"/>
      <charset val="134"/>
    </font>
    <font>
      <i/>
      <sz val="10"/>
      <color rgb="FF4B5563"/>
      <name val="Microsoft YaHei"/>
      <family val="2"/>
      <charset val="134"/>
    </font>
    <font>
      <sz val="10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6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F766E"/>
      </patternFill>
    </fill>
    <fill>
      <patternFill patternType="solid">
        <fgColor rgb="FFF7F3E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F5F"/>
      </patternFill>
    </fill>
    <fill>
      <patternFill patternType="solid">
        <fgColor rgb="FFF7F3E8"/>
      </patternFill>
    </fill>
    <fill>
      <patternFill patternType="solid">
        <fgColor rgb="FF0F766E"/>
      </patternFill>
    </fill>
    <fill>
      <patternFill patternType="solid">
        <fgColor rgb="FFEEF7F7"/>
      </patternFill>
    </fill>
    <fill>
      <patternFill patternType="solid">
        <fgColor rgb="FFFFF4CC"/>
      </patternFill>
    </fill>
    <fill>
      <patternFill patternType="solid">
        <fgColor rgb="FFD9EEF5"/>
      </patternFill>
    </fill>
    <fill>
      <patternFill patternType="solid">
        <fgColor rgb="FF173B57"/>
      </patternFill>
    </fill>
    <fill>
      <patternFill patternType="solid">
        <fgColor rgb="FFF3F8FA"/>
      </patternFill>
    </fill>
    <fill>
      <patternFill patternType="solid">
        <fgColor rgb="FF0F766E"/>
      </patternFill>
    </fill>
    <fill>
      <patternFill patternType="solid">
        <fgColor rgb="FFD9EEF2"/>
      </patternFill>
    </fill>
    <fill>
      <patternFill patternType="solid">
        <fgColor rgb="FFF5F7FA"/>
      </patternFill>
    </fill>
    <fill>
      <patternFill patternType="solid">
        <fgColor rgb="FFFFF4CC"/>
      </patternFill>
    </fill>
    <fill>
      <patternFill patternType="solid">
        <fgColor rgb="FF123B5D"/>
      </patternFill>
    </fill>
    <fill>
      <patternFill patternType="solid">
        <fgColor rgb="FFF5F7FA"/>
      </patternFill>
    </fill>
    <fill>
      <patternFill patternType="solid">
        <fgColor rgb="FF0F766E"/>
      </patternFill>
    </fill>
    <fill>
      <patternFill patternType="solid">
        <fgColor rgb="FF173F5F"/>
      </patternFill>
    </fill>
    <fill>
      <patternFill patternType="solid">
        <fgColor rgb="FF0F7F78"/>
      </patternFill>
    </fill>
    <fill>
      <patternFill patternType="solid">
        <fgColor rgb="FFF2F5F7"/>
      </patternFill>
    </fill>
    <fill>
      <patternFill patternType="solid">
        <fgColor rgb="FFDCEFF2"/>
      </patternFill>
    </fill>
    <fill>
      <patternFill patternType="solid">
        <fgColor rgb="FFFFF2CC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4F1E8"/>
      </patternFill>
    </fill>
    <fill>
      <patternFill patternType="solid">
        <fgColor rgb="FF0F7F78"/>
      </patternFill>
    </fill>
    <fill>
      <patternFill patternType="solid">
        <fgColor rgb="FFDDEFF3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3F6F8"/>
      </patternFill>
    </fill>
    <fill>
      <patternFill patternType="solid">
        <fgColor rgb="FF11877E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8DEE4"/>
      </left>
      <right/>
      <top style="thin">
        <color rgb="FFD8DEE4"/>
      </top>
      <bottom style="thin">
        <color rgb="FFD8DEE4"/>
      </bottom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 style="thin">
        <color rgb="FFD8DEE4"/>
      </top>
      <bottom/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  <border>
      <left/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/>
      <top/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/>
      <top style="thin">
        <color rgb="FFE7EBEF"/>
      </top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/>
      <top style="thin">
        <color rgb="FFE7EBEF"/>
      </top>
      <bottom/>
      <diagonal/>
    </border>
    <border>
      <left/>
      <right style="thin">
        <color rgb="FF7FB6AE"/>
      </right>
      <top/>
      <bottom/>
      <diagonal/>
    </border>
    <border>
      <left style="thin">
        <color rgb="FF7FB6AE"/>
      </left>
      <right style="thin">
        <color rgb="FF7FB6AE"/>
      </right>
      <top/>
      <bottom/>
      <diagonal/>
    </border>
    <border>
      <left style="thin">
        <color rgb="FF7FB6AE"/>
      </left>
      <right/>
      <top/>
      <bottom/>
      <diagonal/>
    </border>
    <border>
      <left/>
      <right style="thin">
        <color rgb="FFD5DEE5"/>
      </right>
      <top/>
      <bottom/>
      <diagonal/>
    </border>
    <border>
      <left style="thin">
        <color rgb="FFD5DEE5"/>
      </left>
      <right style="thin">
        <color rgb="FFD5DEE5"/>
      </right>
      <top/>
      <bottom/>
      <diagonal/>
    </border>
    <border>
      <left style="thin">
        <color rgb="FFD5DEE5"/>
      </left>
      <right/>
      <top/>
      <bottom/>
      <diagonal/>
    </border>
    <border>
      <left/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/>
      <top/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/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/>
      <top style="thin">
        <color rgb="FFD5DEE5"/>
      </top>
      <bottom/>
      <diagonal/>
    </border>
    <border>
      <left style="thin">
        <color rgb="FFB8CED5"/>
      </left>
      <right style="thin">
        <color rgb="FFB8CED5"/>
      </right>
      <top style="thin">
        <color rgb="FFB8CED5"/>
      </top>
      <bottom style="thin">
        <color rgb="FFB8CED5"/>
      </bottom>
      <diagonal/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  <diagonal/>
    </border>
    <border>
      <left style="thin">
        <color rgb="FFD6E1E5"/>
      </left>
      <right style="thin">
        <color rgb="FFD6E1E5"/>
      </right>
      <top style="thin">
        <color rgb="FFD6E1E5"/>
      </top>
      <bottom style="thin">
        <color rgb="FFD6E1E5"/>
      </bottom>
      <diagonal/>
    </border>
    <border>
      <left style="thin">
        <color rgb="FFC9DCE2"/>
      </left>
      <right style="thin">
        <color rgb="FFC9DCE2"/>
      </right>
      <top style="thin">
        <color rgb="FFC9DCE2"/>
      </top>
      <bottom style="thin">
        <color rgb="FFC9DCE2"/>
      </bottom>
      <diagonal/>
    </border>
    <border>
      <left style="thin">
        <color rgb="FFD7E3E8"/>
      </left>
      <right style="thin">
        <color rgb="FFD7E3E8"/>
      </right>
      <top style="thin">
        <color rgb="FFD7E3E8"/>
      </top>
      <bottom style="thin">
        <color rgb="FFD7E3E8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48" fillId="0" borderId="0"/>
  </cellStyleXfs>
  <cellXfs count="125">
    <xf numFmtId="0" fontId="0" fillId="0" borderId="0" xfId="0" applyAlignment="1"/>
    <xf numFmtId="0" fontId="1" fillId="38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3" fillId="40" borderId="0" xfId="0" applyFont="1" applyFill="1" applyAlignment="1">
      <alignment wrapText="1"/>
    </xf>
    <xf numFmtId="0" fontId="1" fillId="38" borderId="1" xfId="0" applyFont="1" applyFill="1" applyBorder="1" applyAlignment="1">
      <alignment horizontal="center" vertical="center" wrapText="1"/>
    </xf>
    <xf numFmtId="0" fontId="25" fillId="41" borderId="1" xfId="0" applyFont="1" applyFill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5" fillId="0" borderId="23" xfId="0" applyFont="1" applyBorder="1" applyAlignment="1">
      <alignment vertical="top" wrapText="1"/>
    </xf>
    <xf numFmtId="0" fontId="25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top" wrapText="1"/>
    </xf>
    <xf numFmtId="0" fontId="25" fillId="0" borderId="26" xfId="0" applyFont="1" applyBorder="1" applyAlignment="1">
      <alignment vertical="top" wrapText="1"/>
    </xf>
    <xf numFmtId="0" fontId="25" fillId="0" borderId="27" xfId="0" applyFont="1" applyBorder="1" applyAlignment="1">
      <alignment vertical="top" wrapText="1"/>
    </xf>
    <xf numFmtId="0" fontId="25" fillId="0" borderId="28" xfId="0" applyFont="1" applyBorder="1" applyAlignment="1">
      <alignment vertical="top" wrapText="1"/>
    </xf>
    <xf numFmtId="0" fontId="25" fillId="0" borderId="29" xfId="0" applyFont="1" applyBorder="1" applyAlignment="1">
      <alignment vertical="top" wrapText="1"/>
    </xf>
    <xf numFmtId="178" fontId="25" fillId="41" borderId="1" xfId="0" applyNumberFormat="1" applyFont="1" applyFill="1" applyBorder="1" applyAlignment="1">
      <alignment vertical="top" wrapText="1"/>
    </xf>
    <xf numFmtId="178" fontId="25" fillId="0" borderId="22" xfId="0" applyNumberFormat="1" applyFont="1" applyBorder="1" applyAlignment="1">
      <alignment vertical="top" wrapText="1"/>
    </xf>
    <xf numFmtId="178" fontId="25" fillId="0" borderId="25" xfId="0" applyNumberFormat="1" applyFont="1" applyBorder="1" applyAlignment="1">
      <alignment vertical="top" wrapText="1"/>
    </xf>
    <xf numFmtId="178" fontId="25" fillId="0" borderId="28" xfId="0" applyNumberFormat="1" applyFont="1" applyBorder="1" applyAlignment="1">
      <alignment vertical="top" wrapText="1"/>
    </xf>
    <xf numFmtId="0" fontId="28" fillId="44" borderId="30" xfId="0" applyFont="1" applyFill="1" applyBorder="1" applyAlignment="1">
      <alignment horizontal="center" vertical="center" wrapText="1"/>
    </xf>
    <xf numFmtId="0" fontId="28" fillId="44" borderId="31" xfId="0" applyFont="1" applyFill="1" applyBorder="1" applyAlignment="1">
      <alignment horizontal="center" vertical="center" wrapText="1"/>
    </xf>
    <xf numFmtId="0" fontId="28" fillId="44" borderId="32" xfId="0" applyFont="1" applyFill="1" applyBorder="1" applyAlignment="1">
      <alignment horizontal="center" vertical="center" wrapText="1"/>
    </xf>
    <xf numFmtId="0" fontId="29" fillId="45" borderId="33" xfId="0" applyFont="1" applyFill="1" applyBorder="1" applyAlignment="1">
      <alignment vertical="top" wrapText="1"/>
    </xf>
    <xf numFmtId="0" fontId="29" fillId="45" borderId="34" xfId="0" applyFont="1" applyFill="1" applyBorder="1" applyAlignment="1">
      <alignment vertical="top" wrapText="1"/>
    </xf>
    <xf numFmtId="0" fontId="29" fillId="45" borderId="35" xfId="0" applyFont="1" applyFill="1" applyBorder="1" applyAlignment="1">
      <alignment vertical="top" wrapText="1"/>
    </xf>
    <xf numFmtId="0" fontId="29" fillId="0" borderId="0" xfId="0" applyFont="1" applyAlignment="1"/>
    <xf numFmtId="2" fontId="29" fillId="45" borderId="34" xfId="0" applyNumberFormat="1" applyFont="1" applyFill="1" applyBorder="1" applyAlignment="1">
      <alignment vertical="top" wrapText="1"/>
    </xf>
    <xf numFmtId="2" fontId="29" fillId="0" borderId="0" xfId="0" applyNumberFormat="1" applyFont="1" applyAlignment="1"/>
    <xf numFmtId="0" fontId="29" fillId="45" borderId="36" xfId="0" applyFont="1" applyFill="1" applyBorder="1" applyAlignment="1">
      <alignment vertical="top" wrapText="1"/>
    </xf>
    <xf numFmtId="0" fontId="29" fillId="45" borderId="37" xfId="0" applyFont="1" applyFill="1" applyBorder="1" applyAlignment="1">
      <alignment vertical="top" wrapText="1"/>
    </xf>
    <xf numFmtId="0" fontId="29" fillId="45" borderId="38" xfId="0" applyFont="1" applyFill="1" applyBorder="1" applyAlignment="1">
      <alignment vertical="top" wrapText="1"/>
    </xf>
    <xf numFmtId="0" fontId="29" fillId="0" borderId="39" xfId="0" applyFont="1" applyBorder="1" applyAlignment="1">
      <alignment vertical="top" wrapText="1"/>
    </xf>
    <xf numFmtId="0" fontId="29" fillId="0" borderId="40" xfId="0" applyFont="1" applyBorder="1" applyAlignment="1">
      <alignment vertical="top" wrapText="1"/>
    </xf>
    <xf numFmtId="0" fontId="29" fillId="0" borderId="41" xfId="0" applyFont="1" applyBorder="1" applyAlignment="1">
      <alignment vertical="top" wrapText="1"/>
    </xf>
    <xf numFmtId="0" fontId="29" fillId="0" borderId="42" xfId="0" applyFont="1" applyBorder="1" applyAlignment="1">
      <alignment vertical="top" wrapText="1"/>
    </xf>
    <xf numFmtId="0" fontId="29" fillId="0" borderId="43" xfId="0" applyFont="1" applyBorder="1" applyAlignment="1">
      <alignment vertical="top" wrapText="1"/>
    </xf>
    <xf numFmtId="0" fontId="29" fillId="0" borderId="44" xfId="0" applyFont="1" applyBorder="1" applyAlignment="1">
      <alignment vertical="top" wrapText="1"/>
    </xf>
    <xf numFmtId="0" fontId="29" fillId="0" borderId="36" xfId="0" applyFont="1" applyBorder="1" applyAlignment="1">
      <alignment wrapText="1"/>
    </xf>
    <xf numFmtId="0" fontId="29" fillId="0" borderId="37" xfId="0" applyFont="1" applyBorder="1" applyAlignment="1">
      <alignment wrapText="1"/>
    </xf>
    <xf numFmtId="0" fontId="29" fillId="0" borderId="38" xfId="0" applyFont="1" applyBorder="1" applyAlignment="1">
      <alignment wrapText="1"/>
    </xf>
    <xf numFmtId="0" fontId="29" fillId="0" borderId="39" xfId="0" applyFont="1" applyBorder="1" applyAlignment="1">
      <alignment wrapText="1"/>
    </xf>
    <xf numFmtId="0" fontId="29" fillId="0" borderId="40" xfId="0" applyFont="1" applyBorder="1" applyAlignment="1">
      <alignment wrapText="1"/>
    </xf>
    <xf numFmtId="0" fontId="29" fillId="0" borderId="41" xfId="0" applyFont="1" applyBorder="1" applyAlignment="1">
      <alignment wrapText="1"/>
    </xf>
    <xf numFmtId="0" fontId="29" fillId="0" borderId="42" xfId="0" applyFont="1" applyBorder="1" applyAlignment="1">
      <alignment wrapText="1"/>
    </xf>
    <xf numFmtId="0" fontId="29" fillId="0" borderId="43" xfId="0" applyFont="1" applyBorder="1" applyAlignment="1">
      <alignment wrapText="1"/>
    </xf>
    <xf numFmtId="0" fontId="29" fillId="0" borderId="44" xfId="0" applyFont="1" applyBorder="1" applyAlignment="1">
      <alignment wrapText="1"/>
    </xf>
    <xf numFmtId="0" fontId="29" fillId="0" borderId="40" xfId="0" applyFont="1" applyBorder="1" applyAlignment="1">
      <alignment vertical="center" wrapText="1"/>
    </xf>
    <xf numFmtId="1" fontId="29" fillId="0" borderId="40" xfId="0" applyNumberFormat="1" applyFont="1" applyBorder="1" applyAlignment="1">
      <alignment vertical="center" wrapText="1"/>
    </xf>
    <xf numFmtId="0" fontId="35" fillId="50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vertical="center" wrapText="1"/>
    </xf>
    <xf numFmtId="0" fontId="0" fillId="0" borderId="0" xfId="0" applyAlignment="1">
      <alignment wrapText="1"/>
    </xf>
    <xf numFmtId="0" fontId="28" fillId="52" borderId="45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vertical="center" wrapText="1"/>
    </xf>
    <xf numFmtId="1" fontId="28" fillId="52" borderId="45" xfId="0" applyNumberFormat="1" applyFont="1" applyFill="1" applyBorder="1" applyAlignment="1">
      <alignment horizontal="center" vertical="center" wrapText="1"/>
    </xf>
    <xf numFmtId="0" fontId="38" fillId="52" borderId="45" xfId="0" applyFont="1" applyFill="1" applyBorder="1" applyAlignment="1">
      <alignment horizontal="center" vertical="center" wrapText="1"/>
    </xf>
    <xf numFmtId="1" fontId="29" fillId="0" borderId="46" xfId="0" applyNumberFormat="1" applyFont="1" applyBorder="1" applyAlignment="1">
      <alignment vertical="center" wrapText="1"/>
    </xf>
    <xf numFmtId="0" fontId="28" fillId="54" borderId="45" xfId="0" applyFont="1" applyFill="1" applyBorder="1" applyAlignment="1">
      <alignment horizontal="center" vertical="center" wrapText="1"/>
    </xf>
    <xf numFmtId="0" fontId="31" fillId="54" borderId="46" xfId="0" applyFont="1" applyFill="1" applyBorder="1" applyAlignment="1">
      <alignment vertical="center" wrapText="1"/>
    </xf>
    <xf numFmtId="0" fontId="29" fillId="54" borderId="46" xfId="0" applyFont="1" applyFill="1" applyBorder="1" applyAlignment="1">
      <alignment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vertical="center" wrapText="1"/>
    </xf>
    <xf numFmtId="0" fontId="29" fillId="56" borderId="47" xfId="0" applyFont="1" applyFill="1" applyBorder="1" applyAlignment="1">
      <alignment vertical="center" wrapText="1"/>
    </xf>
    <xf numFmtId="0" fontId="28" fillId="59" borderId="48" xfId="0" applyFont="1" applyFill="1" applyBorder="1" applyAlignment="1">
      <alignment horizontal="center" vertical="center" wrapText="1"/>
    </xf>
    <xf numFmtId="0" fontId="29" fillId="60" borderId="48" xfId="0" applyFont="1" applyFill="1" applyBorder="1" applyAlignment="1">
      <alignment vertical="center" wrapText="1"/>
    </xf>
    <xf numFmtId="2" fontId="29" fillId="60" borderId="48" xfId="0" applyNumberFormat="1" applyFont="1" applyFill="1" applyBorder="1" applyAlignment="1">
      <alignment vertical="center" wrapText="1"/>
    </xf>
    <xf numFmtId="179" fontId="29" fillId="60" borderId="48" xfId="0" applyNumberFormat="1" applyFont="1" applyFill="1" applyBorder="1" applyAlignment="1">
      <alignment vertical="center" wrapText="1"/>
    </xf>
    <xf numFmtId="0" fontId="31" fillId="54" borderId="48" xfId="0" applyFont="1" applyFill="1" applyBorder="1" applyAlignment="1">
      <alignment vertical="center" wrapText="1"/>
    </xf>
    <xf numFmtId="0" fontId="29" fillId="0" borderId="48" xfId="0" applyFont="1" applyBorder="1" applyAlignment="1">
      <alignment vertical="center" wrapText="1"/>
    </xf>
    <xf numFmtId="0" fontId="45" fillId="55" borderId="48" xfId="0" applyFont="1" applyFill="1" applyBorder="1" applyAlignment="1">
      <alignment vertical="center" wrapText="1"/>
    </xf>
    <xf numFmtId="0" fontId="29" fillId="61" borderId="48" xfId="0" applyFont="1" applyFill="1" applyBorder="1" applyAlignment="1">
      <alignment vertical="center" wrapText="1"/>
    </xf>
    <xf numFmtId="0" fontId="28" fillId="64" borderId="4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38" fillId="52" borderId="48" xfId="0" applyFont="1" applyFill="1" applyBorder="1" applyAlignment="1">
      <alignment horizontal="center" vertical="center" wrapText="1"/>
    </xf>
    <xf numFmtId="0" fontId="40" fillId="54" borderId="48" xfId="0" applyFont="1" applyFill="1" applyBorder="1" applyAlignment="1">
      <alignment vertical="center" wrapText="1"/>
    </xf>
    <xf numFmtId="0" fontId="29" fillId="0" borderId="0" xfId="0" applyFont="1" applyAlignment="1">
      <alignment wrapText="1"/>
    </xf>
    <xf numFmtId="0" fontId="47" fillId="65" borderId="50" xfId="0" applyFont="1" applyFill="1" applyBorder="1" applyAlignment="1">
      <alignment vertical="center" wrapText="1"/>
    </xf>
    <xf numFmtId="0" fontId="47" fillId="65" borderId="51" xfId="0" applyFont="1" applyFill="1" applyBorder="1" applyAlignment="1">
      <alignment vertical="center" wrapText="1"/>
    </xf>
    <xf numFmtId="0" fontId="47" fillId="65" borderId="52" xfId="0" applyFont="1" applyFill="1" applyBorder="1" applyAlignment="1">
      <alignment vertical="center" wrapText="1"/>
    </xf>
    <xf numFmtId="49" fontId="47" fillId="65" borderId="50" xfId="0" applyNumberFormat="1" applyFont="1" applyFill="1" applyBorder="1" applyAlignment="1">
      <alignment vertical="center" wrapText="1"/>
    </xf>
    <xf numFmtId="49" fontId="47" fillId="65" borderId="51" xfId="0" applyNumberFormat="1" applyFont="1" applyFill="1" applyBorder="1" applyAlignment="1">
      <alignment vertical="center" wrapText="1"/>
    </xf>
    <xf numFmtId="49" fontId="47" fillId="65" borderId="52" xfId="0" applyNumberFormat="1" applyFont="1" applyFill="1" applyBorder="1" applyAlignment="1">
      <alignment vertical="center" wrapText="1"/>
    </xf>
    <xf numFmtId="1" fontId="47" fillId="65" borderId="50" xfId="0" applyNumberFormat="1" applyFont="1" applyFill="1" applyBorder="1" applyAlignment="1">
      <alignment vertical="center" wrapText="1"/>
    </xf>
    <xf numFmtId="1" fontId="47" fillId="65" borderId="51" xfId="0" applyNumberFormat="1" applyFont="1" applyFill="1" applyBorder="1" applyAlignment="1">
      <alignment vertical="center" wrapText="1"/>
    </xf>
    <xf numFmtId="1" fontId="47" fillId="65" borderId="52" xfId="0" applyNumberFormat="1" applyFont="1" applyFill="1" applyBorder="1" applyAlignment="1">
      <alignment vertical="center" wrapText="1"/>
    </xf>
    <xf numFmtId="0" fontId="42" fillId="2" borderId="0" xfId="0" applyFont="1" applyFill="1" applyAlignment="1">
      <alignment vertical="center" wrapText="1"/>
    </xf>
    <xf numFmtId="0" fontId="43" fillId="55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36" borderId="0" xfId="0" applyFont="1" applyFill="1">
      <alignment vertical="center"/>
    </xf>
    <xf numFmtId="0" fontId="2" fillId="4" borderId="10" xfId="0" applyFont="1" applyFill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2" fillId="37" borderId="11" xfId="0" applyFont="1" applyFill="1" applyBorder="1" applyAlignment="1">
      <alignment wrapText="1"/>
    </xf>
    <xf numFmtId="0" fontId="2" fillId="37" borderId="12" xfId="0" applyFont="1" applyFill="1" applyBorder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38" borderId="0" xfId="0" applyFont="1" applyFill="1" applyAlignment="1">
      <alignment horizontal="center"/>
    </xf>
    <xf numFmtId="0" fontId="0" fillId="39" borderId="13" xfId="0" applyFill="1" applyBorder="1" applyAlignment="1">
      <alignment vertical="top" wrapText="1"/>
    </xf>
    <xf numFmtId="0" fontId="0" fillId="39" borderId="14" xfId="0" applyFill="1" applyBorder="1" applyAlignment="1">
      <alignment vertical="top" wrapText="1"/>
    </xf>
    <xf numFmtId="0" fontId="0" fillId="39" borderId="15" xfId="0" applyFill="1" applyBorder="1" applyAlignment="1">
      <alignment vertical="top" wrapText="1"/>
    </xf>
    <xf numFmtId="0" fontId="0" fillId="39" borderId="16" xfId="0" applyFill="1" applyBorder="1" applyAlignment="1">
      <alignment vertical="top" wrapText="1"/>
    </xf>
    <xf numFmtId="0" fontId="0" fillId="39" borderId="0" xfId="0" applyFill="1" applyAlignment="1">
      <alignment vertical="top" wrapText="1"/>
    </xf>
    <xf numFmtId="0" fontId="0" fillId="39" borderId="17" xfId="0" applyFill="1" applyBorder="1" applyAlignment="1">
      <alignment vertical="top" wrapText="1"/>
    </xf>
    <xf numFmtId="0" fontId="0" fillId="39" borderId="18" xfId="0" applyFill="1" applyBorder="1" applyAlignment="1">
      <alignment vertical="top" wrapText="1"/>
    </xf>
    <xf numFmtId="0" fontId="0" fillId="39" borderId="19" xfId="0" applyFill="1" applyBorder="1" applyAlignment="1">
      <alignment vertical="top" wrapText="1"/>
    </xf>
    <xf numFmtId="0" fontId="0" fillId="39" borderId="20" xfId="0" applyFill="1" applyBorder="1" applyAlignment="1">
      <alignment vertical="top" wrapText="1"/>
    </xf>
    <xf numFmtId="0" fontId="34" fillId="46" borderId="0" xfId="0" applyFont="1" applyFill="1" applyAlignment="1">
      <alignment vertical="center" wrapText="1"/>
    </xf>
    <xf numFmtId="0" fontId="1" fillId="36" borderId="0" xfId="0" applyFont="1" applyFill="1" applyAlignment="1">
      <alignment vertical="center" wrapText="1"/>
    </xf>
    <xf numFmtId="0" fontId="24" fillId="37" borderId="0" xfId="0" applyFont="1" applyFill="1" applyAlignment="1">
      <alignment wrapText="1"/>
    </xf>
    <xf numFmtId="0" fontId="0" fillId="0" borderId="0" xfId="0" applyAlignment="1"/>
    <xf numFmtId="0" fontId="37" fillId="51" borderId="0" xfId="0" applyFont="1" applyFill="1">
      <alignment vertical="center"/>
    </xf>
    <xf numFmtId="0" fontId="32" fillId="40" borderId="0" xfId="0" applyFont="1" applyFill="1" applyAlignment="1">
      <alignment wrapText="1"/>
    </xf>
    <xf numFmtId="0" fontId="39" fillId="53" borderId="0" xfId="0" applyFont="1" applyFill="1" applyAlignment="1">
      <alignment vertical="center" wrapText="1"/>
    </xf>
    <xf numFmtId="0" fontId="26" fillId="42" borderId="0" xfId="0" applyFont="1" applyFill="1">
      <alignment vertical="center"/>
    </xf>
    <xf numFmtId="0" fontId="27" fillId="43" borderId="0" xfId="0" applyFont="1" applyFill="1" applyAlignment="1">
      <alignment wrapText="1"/>
    </xf>
    <xf numFmtId="0" fontId="30" fillId="48" borderId="0" xfId="0" applyFont="1" applyFill="1">
      <alignment vertical="center"/>
    </xf>
    <xf numFmtId="0" fontId="34" fillId="49" borderId="0" xfId="0" applyFont="1" applyFill="1" applyAlignment="1">
      <alignment vertical="center" wrapText="1"/>
    </xf>
    <xf numFmtId="0" fontId="37" fillId="51" borderId="0" xfId="0" applyFont="1" applyFill="1" applyAlignment="1">
      <alignment vertical="center" wrapText="1"/>
    </xf>
    <xf numFmtId="0" fontId="41" fillId="53" borderId="0" xfId="0" applyFont="1" applyFill="1" applyAlignment="1">
      <alignment vertical="center" wrapText="1"/>
    </xf>
    <xf numFmtId="0" fontId="28" fillId="52" borderId="45" xfId="0" applyFont="1" applyFill="1" applyBorder="1" applyAlignment="1">
      <alignment horizontal="center" vertical="center" wrapText="1"/>
    </xf>
    <xf numFmtId="0" fontId="33" fillId="47" borderId="0" xfId="0" applyFont="1" applyFill="1" applyAlignment="1"/>
    <xf numFmtId="0" fontId="40" fillId="55" borderId="0" xfId="0" applyFont="1" applyFill="1" applyAlignment="1">
      <alignment wrapText="1"/>
    </xf>
    <xf numFmtId="0" fontId="41" fillId="53" borderId="0" xfId="0" applyFont="1" applyFill="1" applyAlignment="1">
      <alignment wrapText="1"/>
    </xf>
    <xf numFmtId="0" fontId="30" fillId="57" borderId="0" xfId="0" applyFont="1" applyFill="1">
      <alignment vertical="center"/>
    </xf>
    <xf numFmtId="0" fontId="44" fillId="58" borderId="0" xfId="0" applyFont="1" applyFill="1" applyAlignment="1">
      <alignment vertical="center" wrapText="1"/>
    </xf>
    <xf numFmtId="0" fontId="42" fillId="62" borderId="0" xfId="0" applyFont="1" applyFill="1" applyAlignment="1">
      <alignment horizontal="center" vertical="center"/>
    </xf>
    <xf numFmtId="0" fontId="46" fillId="63" borderId="0" xfId="0" applyFont="1" applyFill="1" applyAlignment="1">
      <alignment vertical="center" wrapText="1"/>
    </xf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49" xr:uid="{00000000-0005-0000-0000-000031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30"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workbookViewId="0">
      <selection sqref="A1:H1"/>
    </sheetView>
  </sheetViews>
  <sheetFormatPr defaultColWidth="9" defaultRowHeight="13.8"/>
  <cols>
    <col min="1" max="1" width="18" customWidth="1"/>
    <col min="2" max="2" width="20" customWidth="1"/>
    <col min="3" max="3" width="47" customWidth="1"/>
    <col min="4" max="4" width="20" customWidth="1"/>
    <col min="5" max="5" width="29" customWidth="1"/>
    <col min="6" max="8" width="20" customWidth="1"/>
  </cols>
  <sheetData>
    <row r="1" spans="1:8" ht="30" customHeight="1">
      <c r="A1" s="87" t="s">
        <v>0</v>
      </c>
      <c r="B1" s="87"/>
      <c r="C1" s="87"/>
      <c r="D1" s="87"/>
      <c r="E1" s="87"/>
      <c r="F1" s="88"/>
      <c r="G1" s="88"/>
      <c r="H1" s="88"/>
    </row>
    <row r="2" spans="1:8">
      <c r="A2" s="50"/>
      <c r="B2" s="50"/>
      <c r="C2" s="50"/>
      <c r="D2" s="50"/>
      <c r="E2" s="50"/>
    </row>
    <row r="3" spans="1:8" ht="42" customHeight="1">
      <c r="A3" s="89" t="s">
        <v>1</v>
      </c>
      <c r="B3" s="90"/>
      <c r="C3" s="90"/>
      <c r="D3" s="90"/>
      <c r="E3" s="90"/>
      <c r="F3" s="91"/>
      <c r="G3" s="91"/>
      <c r="H3" s="92"/>
    </row>
    <row r="4" spans="1:8">
      <c r="A4" s="50"/>
      <c r="B4" s="50"/>
      <c r="C4" s="50"/>
      <c r="D4" s="50"/>
      <c r="E4" s="50"/>
    </row>
    <row r="5" spans="1:8" ht="30" customHeight="1">
      <c r="A5" s="72" t="s">
        <v>2</v>
      </c>
      <c r="B5" s="72" t="s">
        <v>3</v>
      </c>
      <c r="C5" s="72" t="s">
        <v>4</v>
      </c>
      <c r="D5" s="50"/>
      <c r="E5" s="93" t="s">
        <v>5</v>
      </c>
      <c r="F5" s="94"/>
      <c r="G5" s="94"/>
      <c r="H5" s="94"/>
    </row>
    <row r="6" spans="1:8" ht="255" customHeight="1">
      <c r="A6" s="2">
        <v>1</v>
      </c>
      <c r="B6" s="2" t="s">
        <v>6</v>
      </c>
      <c r="C6" s="2" t="s">
        <v>7</v>
      </c>
      <c r="D6" s="50"/>
      <c r="E6" s="95" t="s">
        <v>8</v>
      </c>
      <c r="F6" s="96"/>
      <c r="G6" s="96"/>
      <c r="H6" s="97"/>
    </row>
    <row r="7" spans="1:8" ht="25.95" customHeight="1">
      <c r="A7" s="2">
        <v>2</v>
      </c>
      <c r="B7" s="2" t="s">
        <v>9</v>
      </c>
      <c r="C7" s="2" t="s">
        <v>10</v>
      </c>
      <c r="D7" s="50"/>
      <c r="E7" s="98"/>
      <c r="F7" s="99"/>
      <c r="G7" s="99"/>
      <c r="H7" s="100"/>
    </row>
    <row r="8" spans="1:8" ht="25.95" customHeight="1">
      <c r="A8" s="2">
        <v>3</v>
      </c>
      <c r="B8" s="2" t="s">
        <v>11</v>
      </c>
      <c r="C8" s="2" t="s">
        <v>12</v>
      </c>
      <c r="D8" s="50"/>
      <c r="E8" s="98"/>
      <c r="F8" s="99"/>
      <c r="G8" s="99"/>
      <c r="H8" s="100"/>
    </row>
    <row r="9" spans="1:8" ht="25.95" customHeight="1">
      <c r="A9" s="2">
        <v>4</v>
      </c>
      <c r="B9" s="2" t="s">
        <v>13</v>
      </c>
      <c r="C9" s="2" t="s">
        <v>14</v>
      </c>
      <c r="D9" s="50"/>
      <c r="E9" s="98"/>
      <c r="F9" s="99"/>
      <c r="G9" s="99"/>
      <c r="H9" s="100"/>
    </row>
    <row r="10" spans="1:8" ht="25.95" customHeight="1">
      <c r="A10" s="2">
        <v>5</v>
      </c>
      <c r="B10" s="2" t="s">
        <v>15</v>
      </c>
      <c r="C10" s="2" t="s">
        <v>16</v>
      </c>
      <c r="D10" s="50"/>
      <c r="E10" s="98"/>
      <c r="F10" s="99"/>
      <c r="G10" s="99"/>
      <c r="H10" s="100"/>
    </row>
    <row r="11" spans="1:8" ht="25.95" customHeight="1">
      <c r="A11" s="2">
        <v>6</v>
      </c>
      <c r="B11" s="2" t="s">
        <v>17</v>
      </c>
      <c r="C11" s="2" t="s">
        <v>18</v>
      </c>
      <c r="D11" s="50"/>
      <c r="E11" s="98"/>
      <c r="F11" s="99"/>
      <c r="G11" s="99"/>
      <c r="H11" s="100"/>
    </row>
    <row r="12" spans="1:8" ht="25.95" customHeight="1">
      <c r="A12" s="2">
        <v>7</v>
      </c>
      <c r="B12" s="2" t="s">
        <v>19</v>
      </c>
      <c r="C12" s="2" t="s">
        <v>20</v>
      </c>
      <c r="D12" s="50"/>
      <c r="E12" s="101"/>
      <c r="F12" s="102"/>
      <c r="G12" s="102"/>
      <c r="H12" s="103"/>
    </row>
    <row r="13" spans="1:8" ht="41.4">
      <c r="A13" s="50">
        <v>8</v>
      </c>
      <c r="B13" s="50" t="s">
        <v>21</v>
      </c>
      <c r="C13" s="50" t="s">
        <v>22</v>
      </c>
      <c r="D13" s="50"/>
      <c r="E13" s="50"/>
    </row>
    <row r="14" spans="1:8" ht="30" customHeight="1">
      <c r="A14" s="50"/>
      <c r="B14" s="50"/>
      <c r="C14" s="50"/>
      <c r="D14" s="50"/>
      <c r="E14" s="50"/>
      <c r="F14" s="3"/>
      <c r="G14" s="3"/>
      <c r="H14" s="3"/>
    </row>
    <row r="15" spans="1:8" ht="34.049999999999997" customHeight="1">
      <c r="A15" s="104" t="s">
        <v>23</v>
      </c>
      <c r="B15" s="104"/>
      <c r="C15" s="104"/>
      <c r="D15" s="104"/>
      <c r="E15" s="104"/>
    </row>
    <row r="16" spans="1:8">
      <c r="A16" s="50"/>
      <c r="B16" s="50"/>
      <c r="C16" s="50"/>
      <c r="D16" s="50"/>
      <c r="E16" s="50"/>
    </row>
    <row r="17" spans="1:5" ht="20.399999999999999">
      <c r="A17" s="85" t="s">
        <v>24</v>
      </c>
      <c r="B17" s="85"/>
      <c r="C17" s="85"/>
      <c r="D17" s="85"/>
      <c r="E17" s="85"/>
    </row>
    <row r="18" spans="1:5" ht="16.2">
      <c r="A18" s="73" t="s">
        <v>25</v>
      </c>
      <c r="B18" s="73" t="s">
        <v>26</v>
      </c>
      <c r="C18" s="73" t="s">
        <v>27</v>
      </c>
      <c r="D18" s="73" t="s">
        <v>28</v>
      </c>
      <c r="E18" s="73" t="s">
        <v>29</v>
      </c>
    </row>
    <row r="19" spans="1:5" ht="34.049999999999997" customHeight="1">
      <c r="A19" s="67" t="s">
        <v>30</v>
      </c>
      <c r="B19" s="68" t="s">
        <v>31</v>
      </c>
      <c r="C19" s="68" t="s">
        <v>32</v>
      </c>
      <c r="D19" s="68" t="s">
        <v>33</v>
      </c>
      <c r="E19" s="68" t="s">
        <v>34</v>
      </c>
    </row>
    <row r="20" spans="1:5" ht="34.049999999999997" customHeight="1">
      <c r="A20" s="67" t="s">
        <v>30</v>
      </c>
      <c r="B20" s="68" t="s">
        <v>35</v>
      </c>
      <c r="C20" s="68" t="s">
        <v>36</v>
      </c>
      <c r="D20" s="68" t="s">
        <v>37</v>
      </c>
      <c r="E20" s="68" t="s">
        <v>38</v>
      </c>
    </row>
    <row r="21" spans="1:5" ht="34.049999999999997" customHeight="1">
      <c r="A21" s="67" t="s">
        <v>30</v>
      </c>
      <c r="B21" s="68" t="s">
        <v>39</v>
      </c>
      <c r="C21" s="68" t="s">
        <v>40</v>
      </c>
      <c r="D21" s="68" t="s">
        <v>37</v>
      </c>
      <c r="E21" s="68" t="s">
        <v>41</v>
      </c>
    </row>
    <row r="22" spans="1:5" ht="34.049999999999997" customHeight="1">
      <c r="A22" s="67" t="s">
        <v>42</v>
      </c>
      <c r="B22" s="68" t="s">
        <v>43</v>
      </c>
      <c r="C22" s="68" t="s">
        <v>44</v>
      </c>
      <c r="D22" s="68" t="s">
        <v>45</v>
      </c>
      <c r="E22" s="68" t="s">
        <v>46</v>
      </c>
    </row>
    <row r="23" spans="1:5" ht="34.049999999999997" customHeight="1">
      <c r="A23" s="67" t="s">
        <v>42</v>
      </c>
      <c r="B23" s="68" t="s">
        <v>47</v>
      </c>
      <c r="C23" s="68" t="s">
        <v>48</v>
      </c>
      <c r="D23" s="68" t="s">
        <v>45</v>
      </c>
      <c r="E23" s="68" t="s">
        <v>49</v>
      </c>
    </row>
    <row r="24" spans="1:5" ht="34.049999999999997" customHeight="1">
      <c r="A24" s="67" t="s">
        <v>50</v>
      </c>
      <c r="B24" s="68" t="s">
        <v>51</v>
      </c>
      <c r="C24" s="68" t="s">
        <v>52</v>
      </c>
      <c r="D24" s="68" t="s">
        <v>45</v>
      </c>
      <c r="E24" s="68" t="s">
        <v>53</v>
      </c>
    </row>
    <row r="25" spans="1:5" ht="34.049999999999997" customHeight="1">
      <c r="A25" s="67" t="s">
        <v>50</v>
      </c>
      <c r="B25" s="68" t="s">
        <v>54</v>
      </c>
      <c r="C25" s="68" t="s">
        <v>55</v>
      </c>
      <c r="D25" s="68" t="s">
        <v>45</v>
      </c>
      <c r="E25" s="68" t="s">
        <v>56</v>
      </c>
    </row>
    <row r="26" spans="1:5" ht="34.049999999999997" customHeight="1">
      <c r="A26" s="67" t="s">
        <v>57</v>
      </c>
      <c r="B26" s="68" t="s">
        <v>58</v>
      </c>
      <c r="C26" s="68" t="s">
        <v>59</v>
      </c>
      <c r="D26" s="68" t="s">
        <v>45</v>
      </c>
      <c r="E26" s="68" t="s">
        <v>60</v>
      </c>
    </row>
    <row r="27" spans="1:5" ht="34.049999999999997" customHeight="1">
      <c r="A27" s="67" t="s">
        <v>57</v>
      </c>
      <c r="B27" s="68" t="s">
        <v>61</v>
      </c>
      <c r="C27" s="68" t="s">
        <v>62</v>
      </c>
      <c r="D27" s="68" t="s">
        <v>45</v>
      </c>
      <c r="E27" s="68" t="s">
        <v>63</v>
      </c>
    </row>
    <row r="28" spans="1:5" ht="34.049999999999997" customHeight="1">
      <c r="A28" s="67" t="s">
        <v>64</v>
      </c>
      <c r="B28" s="68" t="s">
        <v>65</v>
      </c>
      <c r="C28" s="68" t="s">
        <v>66</v>
      </c>
      <c r="D28" s="68" t="s">
        <v>45</v>
      </c>
      <c r="E28" s="68" t="s">
        <v>67</v>
      </c>
    </row>
    <row r="29" spans="1:5" ht="34.049999999999997" customHeight="1">
      <c r="A29" s="67" t="s">
        <v>64</v>
      </c>
      <c r="B29" s="68" t="s">
        <v>68</v>
      </c>
      <c r="C29" s="68" t="s">
        <v>69</v>
      </c>
      <c r="D29" s="68" t="s">
        <v>45</v>
      </c>
      <c r="E29" s="68" t="s">
        <v>70</v>
      </c>
    </row>
    <row r="30" spans="1:5" ht="34.049999999999997" customHeight="1">
      <c r="A30" s="67" t="s">
        <v>64</v>
      </c>
      <c r="B30" s="68" t="s">
        <v>71</v>
      </c>
      <c r="C30" s="68" t="s">
        <v>72</v>
      </c>
      <c r="D30" s="68" t="s">
        <v>45</v>
      </c>
      <c r="E30" s="68" t="s">
        <v>73</v>
      </c>
    </row>
    <row r="31" spans="1:5" ht="34.049999999999997" customHeight="1">
      <c r="A31" s="67" t="s">
        <v>74</v>
      </c>
      <c r="B31" s="68" t="s">
        <v>75</v>
      </c>
      <c r="C31" s="68" t="s">
        <v>76</v>
      </c>
      <c r="D31" s="68" t="s">
        <v>45</v>
      </c>
      <c r="E31" s="68" t="s">
        <v>77</v>
      </c>
    </row>
    <row r="32" spans="1:5" ht="34.049999999999997" customHeight="1">
      <c r="A32" s="67" t="s">
        <v>78</v>
      </c>
      <c r="B32" s="68" t="s">
        <v>79</v>
      </c>
      <c r="C32" s="68" t="s">
        <v>80</v>
      </c>
      <c r="D32" s="68" t="s">
        <v>45</v>
      </c>
      <c r="E32" s="68" t="s">
        <v>81</v>
      </c>
    </row>
    <row r="33" spans="1:5" ht="34.049999999999997" customHeight="1">
      <c r="A33" s="67" t="s">
        <v>82</v>
      </c>
      <c r="B33" s="68" t="s">
        <v>83</v>
      </c>
      <c r="C33" s="68" t="s">
        <v>84</v>
      </c>
      <c r="D33" s="68" t="s">
        <v>45</v>
      </c>
      <c r="E33" s="68" t="s">
        <v>85</v>
      </c>
    </row>
    <row r="34" spans="1:5" ht="34.049999999999997" customHeight="1">
      <c r="A34" s="67" t="s">
        <v>82</v>
      </c>
      <c r="B34" s="68" t="s">
        <v>86</v>
      </c>
      <c r="C34" s="68" t="s">
        <v>87</v>
      </c>
      <c r="D34" s="68" t="s">
        <v>45</v>
      </c>
      <c r="E34" s="68" t="s">
        <v>88</v>
      </c>
    </row>
    <row r="35" spans="1:5" ht="34.049999999999997" customHeight="1">
      <c r="A35" s="67" t="s">
        <v>89</v>
      </c>
      <c r="B35" s="68" t="s">
        <v>90</v>
      </c>
      <c r="C35" s="68" t="s">
        <v>91</v>
      </c>
      <c r="D35" s="68" t="s">
        <v>45</v>
      </c>
      <c r="E35" s="68" t="s">
        <v>92</v>
      </c>
    </row>
    <row r="36" spans="1:5" ht="34.049999999999997" customHeight="1">
      <c r="A36" s="67" t="s">
        <v>93</v>
      </c>
      <c r="B36" s="68" t="s">
        <v>94</v>
      </c>
      <c r="C36" s="68" t="s">
        <v>95</v>
      </c>
      <c r="D36" s="68" t="s">
        <v>45</v>
      </c>
      <c r="E36" s="68" t="s">
        <v>96</v>
      </c>
    </row>
    <row r="37" spans="1:5" ht="34.049999999999997" customHeight="1">
      <c r="A37" s="67" t="s">
        <v>93</v>
      </c>
      <c r="B37" s="68" t="s">
        <v>97</v>
      </c>
      <c r="C37" s="68" t="s">
        <v>98</v>
      </c>
      <c r="D37" s="68" t="s">
        <v>45</v>
      </c>
      <c r="E37" s="68" t="s">
        <v>99</v>
      </c>
    </row>
    <row r="38" spans="1:5" ht="34.049999999999997" customHeight="1">
      <c r="A38" s="74" t="s">
        <v>100</v>
      </c>
      <c r="B38" s="69" t="s">
        <v>101</v>
      </c>
      <c r="C38" s="69" t="s">
        <v>102</v>
      </c>
      <c r="D38" s="69" t="s">
        <v>103</v>
      </c>
      <c r="E38" s="69" t="s">
        <v>104</v>
      </c>
    </row>
    <row r="39" spans="1:5" ht="34.049999999999997" customHeight="1">
      <c r="A39" s="67" t="s">
        <v>100</v>
      </c>
      <c r="B39" s="68" t="s">
        <v>105</v>
      </c>
      <c r="C39" s="68" t="s">
        <v>106</v>
      </c>
      <c r="D39" s="68" t="s">
        <v>103</v>
      </c>
      <c r="E39" s="68" t="s">
        <v>107</v>
      </c>
    </row>
    <row r="40" spans="1:5" ht="34.049999999999997" customHeight="1">
      <c r="A40" s="67" t="s">
        <v>108</v>
      </c>
      <c r="B40" s="68" t="s">
        <v>109</v>
      </c>
      <c r="C40" s="68" t="s">
        <v>110</v>
      </c>
      <c r="D40" s="68" t="s">
        <v>33</v>
      </c>
      <c r="E40" s="68" t="s">
        <v>111</v>
      </c>
    </row>
    <row r="41" spans="1:5">
      <c r="A41" s="50" t="s">
        <v>108</v>
      </c>
      <c r="B41" s="50" t="s">
        <v>112</v>
      </c>
      <c r="C41" s="50" t="s">
        <v>113</v>
      </c>
      <c r="D41" s="50" t="s">
        <v>33</v>
      </c>
      <c r="E41" s="50" t="s">
        <v>114</v>
      </c>
    </row>
    <row r="42" spans="1:5" ht="42" customHeight="1">
      <c r="A42" s="86"/>
      <c r="B42" s="86"/>
      <c r="C42" s="86"/>
      <c r="D42" s="86"/>
      <c r="E42" s="86"/>
    </row>
    <row r="43" spans="1:5" ht="110.4">
      <c r="A43" s="50" t="s">
        <v>115</v>
      </c>
      <c r="B43" s="50"/>
      <c r="C43" s="50"/>
      <c r="D43" s="50"/>
      <c r="E43" s="50"/>
    </row>
  </sheetData>
  <mergeCells count="7">
    <mergeCell ref="A17:E17"/>
    <mergeCell ref="A42:E42"/>
    <mergeCell ref="A1:H1"/>
    <mergeCell ref="A3:H3"/>
    <mergeCell ref="E5:H5"/>
    <mergeCell ref="E6:H12"/>
    <mergeCell ref="A15:E15"/>
  </mergeCells>
  <phoneticPr fontId="4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showGridLines="0" workbookViewId="0"/>
  </sheetViews>
  <sheetFormatPr defaultColWidth="9" defaultRowHeight="13.8"/>
  <cols>
    <col min="1" max="1" width="17" customWidth="1"/>
    <col min="2" max="2" width="28" customWidth="1"/>
    <col min="3" max="4" width="16" customWidth="1"/>
    <col min="5" max="6" width="18" customWidth="1"/>
    <col min="7" max="8" width="14" customWidth="1"/>
    <col min="9" max="9" width="12" customWidth="1"/>
    <col min="10" max="10" width="20" customWidth="1"/>
    <col min="11" max="11" width="34" customWidth="1"/>
    <col min="12" max="13" width="14" customWidth="1"/>
    <col min="14" max="14" width="30" customWidth="1"/>
  </cols>
  <sheetData>
    <row r="1" spans="1:14" ht="30" customHeight="1">
      <c r="A1" s="105" t="s">
        <v>1757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34.049999999999997" customHeight="1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4" t="s">
        <v>122</v>
      </c>
      <c r="G3" s="4" t="s">
        <v>123</v>
      </c>
      <c r="H3" s="4" t="s">
        <v>124</v>
      </c>
      <c r="I3" s="4" t="s">
        <v>125</v>
      </c>
      <c r="J3" s="4" t="s">
        <v>126</v>
      </c>
      <c r="K3" s="4" t="s">
        <v>127</v>
      </c>
      <c r="L3" s="4" t="s">
        <v>128</v>
      </c>
      <c r="M3" s="4" t="s">
        <v>129</v>
      </c>
      <c r="N3" s="4" t="s">
        <v>130</v>
      </c>
    </row>
    <row r="4" spans="1:14" ht="42" customHeight="1">
      <c r="A4" s="5" t="s">
        <v>131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>
        <v>2021</v>
      </c>
      <c r="H4" s="5" t="s">
        <v>137</v>
      </c>
      <c r="I4" s="5" t="s">
        <v>138</v>
      </c>
      <c r="J4" s="5" t="s">
        <v>139</v>
      </c>
      <c r="K4" s="5" t="s">
        <v>140</v>
      </c>
      <c r="L4" s="5" t="s">
        <v>141</v>
      </c>
      <c r="M4" s="5" t="s">
        <v>142</v>
      </c>
      <c r="N4" s="5" t="s">
        <v>143</v>
      </c>
    </row>
    <row r="5" spans="1:14" ht="55.2">
      <c r="A5" s="6" t="s">
        <v>144</v>
      </c>
      <c r="B5" s="7" t="s">
        <v>145</v>
      </c>
      <c r="C5" s="7" t="s">
        <v>146</v>
      </c>
      <c r="D5" s="7" t="s">
        <v>147</v>
      </c>
      <c r="E5" s="7" t="s">
        <v>148</v>
      </c>
      <c r="F5" s="7" t="s">
        <v>149</v>
      </c>
      <c r="G5" s="7">
        <v>2016</v>
      </c>
      <c r="H5" s="7" t="s">
        <v>150</v>
      </c>
      <c r="I5" s="7" t="s">
        <v>138</v>
      </c>
      <c r="J5" s="7" t="s">
        <v>151</v>
      </c>
      <c r="K5" s="7" t="s">
        <v>152</v>
      </c>
      <c r="L5" s="7" t="s">
        <v>141</v>
      </c>
      <c r="M5" s="7" t="s">
        <v>142</v>
      </c>
      <c r="N5" s="8" t="s">
        <v>153</v>
      </c>
    </row>
    <row r="6" spans="1:14" ht="90" customHeight="1">
      <c r="A6" s="9" t="s">
        <v>154</v>
      </c>
      <c r="B6" s="10" t="s">
        <v>155</v>
      </c>
      <c r="C6" s="10" t="s">
        <v>146</v>
      </c>
      <c r="D6" s="10" t="s">
        <v>156</v>
      </c>
      <c r="E6" s="10" t="s">
        <v>157</v>
      </c>
      <c r="F6" s="10" t="s">
        <v>158</v>
      </c>
      <c r="G6" s="10">
        <v>2011</v>
      </c>
      <c r="H6" s="10" t="s">
        <v>159</v>
      </c>
      <c r="I6" s="10" t="s">
        <v>138</v>
      </c>
      <c r="J6" s="10"/>
      <c r="K6" s="10" t="s">
        <v>160</v>
      </c>
      <c r="L6" s="10" t="s">
        <v>141</v>
      </c>
      <c r="M6" s="10" t="s">
        <v>142</v>
      </c>
      <c r="N6" s="11" t="s">
        <v>161</v>
      </c>
    </row>
    <row r="7" spans="1:14" ht="72" customHeight="1">
      <c r="A7" s="9" t="s">
        <v>162</v>
      </c>
      <c r="B7" s="10" t="s">
        <v>163</v>
      </c>
      <c r="C7" s="10" t="s">
        <v>146</v>
      </c>
      <c r="D7" s="10" t="s">
        <v>164</v>
      </c>
      <c r="E7" s="10" t="s">
        <v>157</v>
      </c>
      <c r="F7" s="10" t="s">
        <v>158</v>
      </c>
      <c r="G7" s="10">
        <v>2011</v>
      </c>
      <c r="H7" s="10" t="s">
        <v>159</v>
      </c>
      <c r="I7" s="10" t="s">
        <v>138</v>
      </c>
      <c r="J7" s="10"/>
      <c r="K7" s="10" t="s">
        <v>165</v>
      </c>
      <c r="L7" s="10" t="s">
        <v>141</v>
      </c>
      <c r="M7" s="10" t="s">
        <v>142</v>
      </c>
      <c r="N7" s="11" t="s">
        <v>166</v>
      </c>
    </row>
    <row r="8" spans="1:14" ht="55.2">
      <c r="A8" s="9" t="s">
        <v>167</v>
      </c>
      <c r="B8" s="10" t="s">
        <v>168</v>
      </c>
      <c r="C8" s="10" t="s">
        <v>146</v>
      </c>
      <c r="D8" s="10" t="s">
        <v>169</v>
      </c>
      <c r="E8" s="10" t="s">
        <v>170</v>
      </c>
      <c r="F8" s="10" t="s">
        <v>171</v>
      </c>
      <c r="G8" s="10">
        <v>2011</v>
      </c>
      <c r="H8" s="10" t="s">
        <v>159</v>
      </c>
      <c r="I8" s="10" t="s">
        <v>138</v>
      </c>
      <c r="J8" s="10"/>
      <c r="K8" s="10" t="s">
        <v>172</v>
      </c>
      <c r="L8" s="10" t="s">
        <v>141</v>
      </c>
      <c r="M8" s="10" t="s">
        <v>142</v>
      </c>
      <c r="N8" s="11" t="s">
        <v>173</v>
      </c>
    </row>
    <row r="9" spans="1:14" ht="41.4">
      <c r="A9" s="9" t="s">
        <v>174</v>
      </c>
      <c r="B9" s="10" t="s">
        <v>175</v>
      </c>
      <c r="C9" s="10" t="s">
        <v>146</v>
      </c>
      <c r="D9" s="10" t="s">
        <v>176</v>
      </c>
      <c r="E9" s="10" t="s">
        <v>177</v>
      </c>
      <c r="F9" s="10"/>
      <c r="G9" s="10"/>
      <c r="H9" s="10" t="s">
        <v>178</v>
      </c>
      <c r="I9" s="10" t="s">
        <v>138</v>
      </c>
      <c r="J9" s="10"/>
      <c r="K9" s="10" t="s">
        <v>179</v>
      </c>
      <c r="L9" s="10" t="s">
        <v>141</v>
      </c>
      <c r="M9" s="10" t="s">
        <v>180</v>
      </c>
      <c r="N9" s="11" t="s">
        <v>181</v>
      </c>
    </row>
    <row r="10" spans="1:14" ht="41.4">
      <c r="A10" s="9" t="s">
        <v>182</v>
      </c>
      <c r="B10" s="10" t="s">
        <v>183</v>
      </c>
      <c r="C10" s="10" t="s">
        <v>146</v>
      </c>
      <c r="D10" s="10" t="s">
        <v>176</v>
      </c>
      <c r="E10" s="10" t="s">
        <v>184</v>
      </c>
      <c r="F10" s="10"/>
      <c r="G10" s="10"/>
      <c r="H10" s="10" t="s">
        <v>185</v>
      </c>
      <c r="I10" s="10" t="s">
        <v>138</v>
      </c>
      <c r="J10" s="10"/>
      <c r="K10" s="10" t="s">
        <v>186</v>
      </c>
      <c r="L10" s="10" t="s">
        <v>141</v>
      </c>
      <c r="M10" s="10" t="s">
        <v>180</v>
      </c>
      <c r="N10" s="11" t="s">
        <v>187</v>
      </c>
    </row>
    <row r="11" spans="1:1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</row>
    <row r="18" spans="1:1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spans="1:1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</row>
    <row r="22" spans="1:1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spans="1:1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</row>
    <row r="30" spans="1:1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spans="1:1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</row>
    <row r="32" spans="1:1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spans="1:1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spans="1:1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1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1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/>
    </row>
    <row r="43" spans="1:1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1:1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</row>
    <row r="53" spans="1:1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</row>
    <row r="56" spans="1:1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</row>
    <row r="57" spans="1:1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</row>
    <row r="58" spans="1:1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1:1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</row>
    <row r="61" spans="1:1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</row>
    <row r="62" spans="1:1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</row>
    <row r="63" spans="1:1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</row>
    <row r="65" spans="1:1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</row>
    <row r="67" spans="1:1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</row>
    <row r="68" spans="1:1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</row>
    <row r="69" spans="1:1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1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spans="1:1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</row>
    <row r="73" spans="1:1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</row>
    <row r="74" spans="1:1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</row>
    <row r="76" spans="1:1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</row>
    <row r="77" spans="1:1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</row>
    <row r="78" spans="1:1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</row>
    <row r="79" spans="1:1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</row>
    <row r="80" spans="1:1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</row>
    <row r="81" spans="1:1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</row>
    <row r="82" spans="1:1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</row>
    <row r="83" spans="1:1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</row>
    <row r="84" spans="1:1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</row>
    <row r="85" spans="1:1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</row>
    <row r="86" spans="1:1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</row>
    <row r="87" spans="1:1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</row>
    <row r="88" spans="1:1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</row>
    <row r="89" spans="1:1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</row>
    <row r="90" spans="1:1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</row>
    <row r="91" spans="1:1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</row>
    <row r="92" spans="1:1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</row>
    <row r="93" spans="1:1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</row>
    <row r="94" spans="1:1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</row>
    <row r="95" spans="1:1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</row>
    <row r="96" spans="1:1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</row>
    <row r="97" spans="1:1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</row>
    <row r="98" spans="1:1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</row>
    <row r="99" spans="1:1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</row>
    <row r="100" spans="1:1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</row>
    <row r="101" spans="1:1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</row>
    <row r="102" spans="1:1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</row>
    <row r="103" spans="1:1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</row>
    <row r="104" spans="1:1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</row>
    <row r="105" spans="1:1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</row>
    <row r="106" spans="1:1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</row>
    <row r="107" spans="1:1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</row>
    <row r="108" spans="1:1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</row>
    <row r="109" spans="1:1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</row>
    <row r="110" spans="1:1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</row>
    <row r="111" spans="1:1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</row>
    <row r="112" spans="1:1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</row>
    <row r="113" spans="1:1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1:1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</row>
    <row r="115" spans="1:1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</row>
    <row r="116" spans="1:1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</row>
    <row r="117" spans="1:1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</row>
    <row r="118" spans="1:1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</row>
    <row r="119" spans="1:1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</row>
    <row r="120" spans="1:1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</row>
    <row r="121" spans="1:1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</row>
    <row r="122" spans="1:1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</row>
    <row r="123" spans="1:1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</row>
    <row r="124" spans="1:1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</row>
    <row r="125" spans="1:1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</row>
    <row r="126" spans="1:1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</row>
    <row r="127" spans="1:1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</row>
    <row r="128" spans="1:1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</row>
    <row r="129" spans="1:1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1:1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</row>
    <row r="131" spans="1:1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</row>
    <row r="132" spans="1:1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</row>
    <row r="133" spans="1:1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</row>
    <row r="134" spans="1:1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</row>
    <row r="135" spans="1:1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</row>
    <row r="136" spans="1:1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</row>
    <row r="137" spans="1:1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</row>
    <row r="138" spans="1:1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</row>
    <row r="139" spans="1:1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</row>
    <row r="140" spans="1:1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</row>
    <row r="141" spans="1:1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</row>
    <row r="142" spans="1:1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</row>
    <row r="143" spans="1:1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</row>
    <row r="144" spans="1:1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</row>
    <row r="145" spans="1:1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</row>
    <row r="146" spans="1:1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</row>
    <row r="147" spans="1:1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</row>
    <row r="148" spans="1:1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</row>
    <row r="149" spans="1:1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</row>
    <row r="150" spans="1:1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</row>
    <row r="151" spans="1:1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</row>
    <row r="152" spans="1:1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</row>
    <row r="153" spans="1:14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</row>
    <row r="154" spans="1:14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</row>
    <row r="155" spans="1:14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</row>
    <row r="156" spans="1:14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</row>
    <row r="157" spans="1:14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</row>
    <row r="158" spans="1:14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</row>
    <row r="159" spans="1:14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</row>
    <row r="160" spans="1:14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</row>
    <row r="161" spans="1:14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</row>
    <row r="162" spans="1:14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</row>
    <row r="163" spans="1:14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</row>
    <row r="164" spans="1:14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</row>
    <row r="165" spans="1:14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</row>
    <row r="166" spans="1:14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</row>
    <row r="167" spans="1:14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</row>
    <row r="168" spans="1:14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</row>
    <row r="169" spans="1:14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</row>
    <row r="170" spans="1:14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</row>
    <row r="171" spans="1:14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</row>
    <row r="172" spans="1:14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</row>
    <row r="173" spans="1:14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</row>
    <row r="174" spans="1:14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</row>
    <row r="175" spans="1:14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</row>
    <row r="176" spans="1:14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</row>
    <row r="177" spans="1:14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</row>
    <row r="178" spans="1:14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</row>
    <row r="179" spans="1:14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</row>
    <row r="180" spans="1:14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</row>
    <row r="181" spans="1:14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</row>
    <row r="182" spans="1:14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</row>
    <row r="183" spans="1:14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</row>
    <row r="184" spans="1:14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</row>
    <row r="185" spans="1:14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</row>
    <row r="186" spans="1:14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</row>
    <row r="187" spans="1:14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</row>
    <row r="188" spans="1:14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</row>
    <row r="189" spans="1:14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</row>
    <row r="190" spans="1:14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</row>
    <row r="191" spans="1:14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</row>
    <row r="192" spans="1:14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</row>
    <row r="193" spans="1:14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</row>
    <row r="194" spans="1:14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</row>
    <row r="195" spans="1:14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</row>
    <row r="196" spans="1:14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</row>
    <row r="197" spans="1:14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</row>
    <row r="198" spans="1:14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</row>
    <row r="199" spans="1:14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</row>
    <row r="200" spans="1:14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</row>
    <row r="201" spans="1:14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</row>
    <row r="202" spans="1:14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</row>
  </sheetData>
  <mergeCells count="2">
    <mergeCell ref="A1:N1"/>
    <mergeCell ref="A2:N2"/>
  </mergeCells>
  <phoneticPr fontId="49" type="noConversion"/>
  <conditionalFormatting sqref="M4:M203">
    <cfRule type="containsText" dxfId="29" priority="1" operator="containsText" text="通过"/>
    <cfRule type="containsText" dxfId="28" priority="2" operator="containsText" text="争议"/>
    <cfRule type="containsText" dxfId="27" priority="3" operator="containsText" text="驳回"/>
  </conditionalFormatting>
  <dataValidations count="3">
    <dataValidation type="list" sqref="C4:C203" xr:uid="{00000000-0002-0000-0100-000000000000}">
      <formula1>"古籍,考古报告,研究专著,学术论文,地图,数据库,网页,其他"</formula1>
    </dataValidation>
    <dataValidation type="list" sqref="L4:L203" xr:uid="{00000000-0002-0000-0100-000001000000}">
      <formula1>"A,B,C,D"</formula1>
    </dataValidation>
    <dataValidation type="list" sqref="M4:M203" xr:uid="{00000000-0002-0000-0100-000002000000}">
      <formula1>"草稿,待审核,通过,驳回,争议"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showGridLines="0" workbookViewId="0"/>
  </sheetViews>
  <sheetFormatPr defaultColWidth="9" defaultRowHeight="13.8"/>
  <cols>
    <col min="1" max="1" width="18" customWidth="1"/>
    <col min="2" max="2" width="17" customWidth="1"/>
    <col min="3" max="3" width="48" customWidth="1"/>
    <col min="4" max="4" width="18" customWidth="1"/>
    <col min="5" max="5" width="14" customWidth="1"/>
    <col min="6" max="6" width="12" customWidth="1"/>
    <col min="7" max="7" width="28" customWidth="1"/>
    <col min="8" max="8" width="16" customWidth="1"/>
    <col min="9" max="9" width="12" customWidth="1"/>
    <col min="10" max="10" width="14" customWidth="1"/>
    <col min="11" max="11" width="30" customWidth="1"/>
  </cols>
  <sheetData>
    <row r="1" spans="1:11" ht="30" customHeight="1">
      <c r="A1" s="105" t="s">
        <v>1804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34.049999999999997" customHeight="1">
      <c r="A3" s="4" t="s">
        <v>188</v>
      </c>
      <c r="B3" s="4" t="s">
        <v>117</v>
      </c>
      <c r="C3" s="4" t="s">
        <v>189</v>
      </c>
      <c r="D3" s="4" t="s">
        <v>190</v>
      </c>
      <c r="E3" s="4" t="s">
        <v>124</v>
      </c>
      <c r="F3" s="4" t="s">
        <v>125</v>
      </c>
      <c r="G3" s="4" t="s">
        <v>191</v>
      </c>
      <c r="H3" s="4" t="s">
        <v>192</v>
      </c>
      <c r="I3" s="4" t="s">
        <v>193</v>
      </c>
      <c r="J3" s="4" t="s">
        <v>129</v>
      </c>
      <c r="K3" s="4" t="s">
        <v>194</v>
      </c>
    </row>
    <row r="4" spans="1:11" ht="42" customHeight="1">
      <c r="A4" s="5" t="s">
        <v>195</v>
      </c>
      <c r="B4" s="5" t="s">
        <v>131</v>
      </c>
      <c r="C4" s="5" t="s">
        <v>196</v>
      </c>
      <c r="D4" s="5" t="s">
        <v>197</v>
      </c>
      <c r="E4" s="5" t="s">
        <v>198</v>
      </c>
      <c r="F4" s="5" t="s">
        <v>199</v>
      </c>
      <c r="G4" s="5" t="s">
        <v>200</v>
      </c>
      <c r="H4" s="5" t="s">
        <v>201</v>
      </c>
      <c r="I4" s="5">
        <v>0.9</v>
      </c>
      <c r="J4" s="5" t="s">
        <v>142</v>
      </c>
      <c r="K4" s="5" t="s">
        <v>202</v>
      </c>
    </row>
    <row r="5" spans="1:11" ht="90" customHeight="1">
      <c r="A5" s="6" t="s">
        <v>203</v>
      </c>
      <c r="B5" s="7" t="s">
        <v>131</v>
      </c>
      <c r="C5" s="7" t="s">
        <v>204</v>
      </c>
      <c r="D5" s="7" t="s">
        <v>205</v>
      </c>
      <c r="E5" s="7" t="s">
        <v>198</v>
      </c>
      <c r="F5" s="7" t="s">
        <v>206</v>
      </c>
      <c r="G5" s="7" t="s">
        <v>207</v>
      </c>
      <c r="H5" s="7" t="s">
        <v>201</v>
      </c>
      <c r="I5" s="7">
        <v>0.9</v>
      </c>
      <c r="J5" s="7" t="s">
        <v>142</v>
      </c>
      <c r="K5" s="8" t="s">
        <v>208</v>
      </c>
    </row>
    <row r="6" spans="1:11" ht="90" customHeight="1">
      <c r="A6" s="9" t="s">
        <v>209</v>
      </c>
      <c r="B6" s="10" t="s">
        <v>131</v>
      </c>
      <c r="C6" s="10" t="s">
        <v>210</v>
      </c>
      <c r="D6" s="10" t="s">
        <v>205</v>
      </c>
      <c r="E6" s="10" t="s">
        <v>198</v>
      </c>
      <c r="F6" s="10" t="s">
        <v>206</v>
      </c>
      <c r="G6" s="10" t="s">
        <v>211</v>
      </c>
      <c r="H6" s="10" t="s">
        <v>201</v>
      </c>
      <c r="I6" s="10">
        <v>0.9</v>
      </c>
      <c r="J6" s="10" t="s">
        <v>142</v>
      </c>
      <c r="K6" s="11" t="s">
        <v>212</v>
      </c>
    </row>
    <row r="7" spans="1:11" ht="90" customHeight="1">
      <c r="A7" s="9" t="s">
        <v>213</v>
      </c>
      <c r="B7" s="10" t="s">
        <v>131</v>
      </c>
      <c r="C7" s="10" t="s">
        <v>214</v>
      </c>
      <c r="D7" s="10" t="s">
        <v>215</v>
      </c>
      <c r="E7" s="10" t="s">
        <v>198</v>
      </c>
      <c r="F7" s="10" t="s">
        <v>216</v>
      </c>
      <c r="G7" s="10" t="s">
        <v>207</v>
      </c>
      <c r="H7" s="10" t="s">
        <v>201</v>
      </c>
      <c r="I7" s="10">
        <v>0.88</v>
      </c>
      <c r="J7" s="10" t="s">
        <v>142</v>
      </c>
      <c r="K7" s="11" t="s">
        <v>217</v>
      </c>
    </row>
    <row r="8" spans="1:11" ht="90" customHeight="1">
      <c r="A8" s="9" t="s">
        <v>218</v>
      </c>
      <c r="B8" s="10" t="s">
        <v>131</v>
      </c>
      <c r="C8" s="10" t="s">
        <v>219</v>
      </c>
      <c r="D8" s="10" t="s">
        <v>220</v>
      </c>
      <c r="E8" s="10" t="s">
        <v>198</v>
      </c>
      <c r="F8" s="10" t="s">
        <v>221</v>
      </c>
      <c r="G8" s="10" t="s">
        <v>200</v>
      </c>
      <c r="H8" s="10" t="s">
        <v>201</v>
      </c>
      <c r="I8" s="10">
        <v>0.9</v>
      </c>
      <c r="J8" s="10" t="s">
        <v>142</v>
      </c>
      <c r="K8" s="11" t="s">
        <v>222</v>
      </c>
    </row>
    <row r="9" spans="1:11" ht="90" customHeight="1">
      <c r="A9" s="9" t="s">
        <v>223</v>
      </c>
      <c r="B9" s="10" t="s">
        <v>131</v>
      </c>
      <c r="C9" s="10" t="s">
        <v>224</v>
      </c>
      <c r="D9" s="10" t="s">
        <v>220</v>
      </c>
      <c r="E9" s="10" t="s">
        <v>198</v>
      </c>
      <c r="F9" s="10" t="s">
        <v>221</v>
      </c>
      <c r="G9" s="10" t="s">
        <v>200</v>
      </c>
      <c r="H9" s="10" t="s">
        <v>201</v>
      </c>
      <c r="I9" s="10">
        <v>0.9</v>
      </c>
      <c r="J9" s="10" t="s">
        <v>142</v>
      </c>
      <c r="K9" s="11" t="s">
        <v>225</v>
      </c>
    </row>
    <row r="10" spans="1:11" ht="90" customHeight="1">
      <c r="A10" s="9" t="s">
        <v>226</v>
      </c>
      <c r="B10" s="10" t="s">
        <v>131</v>
      </c>
      <c r="C10" s="10" t="s">
        <v>227</v>
      </c>
      <c r="D10" s="10" t="s">
        <v>220</v>
      </c>
      <c r="E10" s="10" t="s">
        <v>198</v>
      </c>
      <c r="F10" s="10" t="s">
        <v>221</v>
      </c>
      <c r="G10" s="10" t="s">
        <v>200</v>
      </c>
      <c r="H10" s="10" t="s">
        <v>201</v>
      </c>
      <c r="I10" s="10">
        <v>0.9</v>
      </c>
      <c r="J10" s="10" t="s">
        <v>142</v>
      </c>
      <c r="K10" s="11" t="s">
        <v>228</v>
      </c>
    </row>
    <row r="11" spans="1:11" ht="90" customHeight="1">
      <c r="A11" s="9" t="s">
        <v>229</v>
      </c>
      <c r="B11" s="10" t="s">
        <v>131</v>
      </c>
      <c r="C11" s="10" t="s">
        <v>230</v>
      </c>
      <c r="D11" s="10" t="s">
        <v>231</v>
      </c>
      <c r="E11" s="10" t="s">
        <v>232</v>
      </c>
      <c r="F11" s="10" t="s">
        <v>233</v>
      </c>
      <c r="G11" s="10" t="s">
        <v>234</v>
      </c>
      <c r="H11" s="10" t="s">
        <v>201</v>
      </c>
      <c r="I11" s="10">
        <v>0.82</v>
      </c>
      <c r="J11" s="10" t="s">
        <v>235</v>
      </c>
      <c r="K11" s="11" t="s">
        <v>236</v>
      </c>
    </row>
    <row r="12" spans="1:11" ht="90" customHeight="1">
      <c r="A12" s="9" t="s">
        <v>237</v>
      </c>
      <c r="B12" s="10" t="s">
        <v>131</v>
      </c>
      <c r="C12" s="10" t="s">
        <v>238</v>
      </c>
      <c r="D12" s="10" t="s">
        <v>239</v>
      </c>
      <c r="E12" s="10" t="s">
        <v>232</v>
      </c>
      <c r="F12" s="10" t="s">
        <v>240</v>
      </c>
      <c r="G12" s="10" t="s">
        <v>200</v>
      </c>
      <c r="H12" s="10" t="s">
        <v>201</v>
      </c>
      <c r="I12" s="10">
        <v>0.9</v>
      </c>
      <c r="J12" s="10" t="s">
        <v>142</v>
      </c>
      <c r="K12" s="11" t="s">
        <v>241</v>
      </c>
    </row>
    <row r="13" spans="1:11" ht="90" customHeight="1">
      <c r="A13" s="9" t="s">
        <v>242</v>
      </c>
      <c r="B13" s="10" t="s">
        <v>131</v>
      </c>
      <c r="C13" s="10" t="s">
        <v>243</v>
      </c>
      <c r="D13" s="10" t="s">
        <v>239</v>
      </c>
      <c r="E13" s="10" t="s">
        <v>232</v>
      </c>
      <c r="F13" s="10" t="s">
        <v>240</v>
      </c>
      <c r="G13" s="10" t="s">
        <v>207</v>
      </c>
      <c r="H13" s="10" t="s">
        <v>201</v>
      </c>
      <c r="I13" s="10">
        <v>0.9</v>
      </c>
      <c r="J13" s="10" t="s">
        <v>142</v>
      </c>
      <c r="K13" s="11" t="s">
        <v>244</v>
      </c>
    </row>
    <row r="14" spans="1:11" ht="90" customHeight="1">
      <c r="A14" s="9" t="s">
        <v>245</v>
      </c>
      <c r="B14" s="10" t="s">
        <v>144</v>
      </c>
      <c r="C14" s="10" t="s">
        <v>246</v>
      </c>
      <c r="D14" s="10" t="s">
        <v>247</v>
      </c>
      <c r="E14" s="10" t="s">
        <v>248</v>
      </c>
      <c r="F14" s="10" t="s">
        <v>138</v>
      </c>
      <c r="G14" s="10"/>
      <c r="H14" s="10" t="s">
        <v>249</v>
      </c>
      <c r="I14" s="10">
        <v>0.95</v>
      </c>
      <c r="J14" s="10" t="s">
        <v>142</v>
      </c>
      <c r="K14" s="11" t="s">
        <v>250</v>
      </c>
    </row>
    <row r="15" spans="1:11" ht="90" customHeight="1">
      <c r="A15" s="9" t="s">
        <v>251</v>
      </c>
      <c r="B15" s="10" t="s">
        <v>144</v>
      </c>
      <c r="C15" s="10" t="s">
        <v>252</v>
      </c>
      <c r="D15" s="10" t="s">
        <v>253</v>
      </c>
      <c r="E15" s="10" t="s">
        <v>254</v>
      </c>
      <c r="F15" s="10" t="s">
        <v>138</v>
      </c>
      <c r="G15" s="10"/>
      <c r="H15" s="10" t="s">
        <v>249</v>
      </c>
      <c r="I15" s="10">
        <v>0.95</v>
      </c>
      <c r="J15" s="10" t="s">
        <v>142</v>
      </c>
      <c r="K15" s="11" t="s">
        <v>255</v>
      </c>
    </row>
    <row r="16" spans="1:11" ht="90" customHeight="1">
      <c r="A16" s="9" t="s">
        <v>256</v>
      </c>
      <c r="B16" s="10" t="s">
        <v>144</v>
      </c>
      <c r="C16" s="10" t="s">
        <v>257</v>
      </c>
      <c r="D16" s="10" t="s">
        <v>258</v>
      </c>
      <c r="E16" s="10" t="s">
        <v>259</v>
      </c>
      <c r="F16" s="10" t="s">
        <v>138</v>
      </c>
      <c r="G16" s="10"/>
      <c r="H16" s="10" t="s">
        <v>249</v>
      </c>
      <c r="I16" s="10">
        <v>0.95</v>
      </c>
      <c r="J16" s="10" t="s">
        <v>142</v>
      </c>
      <c r="K16" s="11" t="s">
        <v>260</v>
      </c>
    </row>
    <row r="17" spans="1:11" ht="120" customHeight="1">
      <c r="A17" s="9" t="s">
        <v>261</v>
      </c>
      <c r="B17" s="10" t="s">
        <v>144</v>
      </c>
      <c r="C17" s="10" t="s">
        <v>262</v>
      </c>
      <c r="D17" s="10" t="s">
        <v>263</v>
      </c>
      <c r="E17" s="10" t="s">
        <v>264</v>
      </c>
      <c r="F17" s="10" t="s">
        <v>138</v>
      </c>
      <c r="G17" s="10"/>
      <c r="H17" s="10" t="s">
        <v>249</v>
      </c>
      <c r="I17" s="10">
        <v>0.95</v>
      </c>
      <c r="J17" s="10" t="s">
        <v>142</v>
      </c>
      <c r="K17" s="11" t="s">
        <v>265</v>
      </c>
    </row>
    <row r="18" spans="1:11" ht="120" customHeight="1">
      <c r="A18" s="9" t="s">
        <v>266</v>
      </c>
      <c r="B18" s="10" t="s">
        <v>144</v>
      </c>
      <c r="C18" s="10" t="s">
        <v>267</v>
      </c>
      <c r="D18" s="10" t="s">
        <v>268</v>
      </c>
      <c r="E18" s="10" t="s">
        <v>269</v>
      </c>
      <c r="F18" s="10" t="s">
        <v>138</v>
      </c>
      <c r="G18" s="10"/>
      <c r="H18" s="10" t="s">
        <v>249</v>
      </c>
      <c r="I18" s="10">
        <v>0.95</v>
      </c>
      <c r="J18" s="10" t="s">
        <v>142</v>
      </c>
      <c r="K18" s="11" t="s">
        <v>270</v>
      </c>
    </row>
    <row r="19" spans="1:11" ht="120" customHeight="1">
      <c r="A19" s="9" t="s">
        <v>271</v>
      </c>
      <c r="B19" s="10" t="s">
        <v>144</v>
      </c>
      <c r="C19" s="10" t="s">
        <v>272</v>
      </c>
      <c r="D19" s="10" t="s">
        <v>273</v>
      </c>
      <c r="E19" s="10" t="s">
        <v>274</v>
      </c>
      <c r="F19" s="10" t="s">
        <v>138</v>
      </c>
      <c r="G19" s="10"/>
      <c r="H19" s="10" t="s">
        <v>249</v>
      </c>
      <c r="I19" s="10">
        <v>0.95</v>
      </c>
      <c r="J19" s="10" t="s">
        <v>142</v>
      </c>
      <c r="K19" s="11" t="s">
        <v>275</v>
      </c>
    </row>
    <row r="20" spans="1:11" ht="120" customHeight="1">
      <c r="A20" s="9" t="s">
        <v>276</v>
      </c>
      <c r="B20" s="10" t="s">
        <v>144</v>
      </c>
      <c r="C20" s="10" t="s">
        <v>277</v>
      </c>
      <c r="D20" s="10" t="s">
        <v>278</v>
      </c>
      <c r="E20" s="10" t="s">
        <v>279</v>
      </c>
      <c r="F20" s="10" t="s">
        <v>138</v>
      </c>
      <c r="G20" s="10"/>
      <c r="H20" s="10" t="s">
        <v>249</v>
      </c>
      <c r="I20" s="10">
        <v>0.95</v>
      </c>
      <c r="J20" s="10" t="s">
        <v>142</v>
      </c>
      <c r="K20" s="11" t="s">
        <v>280</v>
      </c>
    </row>
    <row r="21" spans="1:11" ht="120" customHeight="1">
      <c r="A21" s="9" t="s">
        <v>281</v>
      </c>
      <c r="B21" s="10" t="s">
        <v>144</v>
      </c>
      <c r="C21" s="10" t="s">
        <v>282</v>
      </c>
      <c r="D21" s="10" t="s">
        <v>283</v>
      </c>
      <c r="E21" s="10" t="s">
        <v>284</v>
      </c>
      <c r="F21" s="10" t="s">
        <v>138</v>
      </c>
      <c r="G21" s="10"/>
      <c r="H21" s="10" t="s">
        <v>249</v>
      </c>
      <c r="I21" s="10">
        <v>0.95</v>
      </c>
      <c r="J21" s="10" t="s">
        <v>142</v>
      </c>
      <c r="K21" s="11" t="s">
        <v>285</v>
      </c>
    </row>
    <row r="22" spans="1:11" ht="120" customHeight="1">
      <c r="A22" s="9" t="s">
        <v>286</v>
      </c>
      <c r="B22" s="10" t="s">
        <v>144</v>
      </c>
      <c r="C22" s="10" t="s">
        <v>287</v>
      </c>
      <c r="D22" s="10" t="s">
        <v>288</v>
      </c>
      <c r="E22" s="10" t="s">
        <v>289</v>
      </c>
      <c r="F22" s="10" t="s">
        <v>138</v>
      </c>
      <c r="G22" s="10"/>
      <c r="H22" s="10" t="s">
        <v>249</v>
      </c>
      <c r="I22" s="10">
        <v>0.95</v>
      </c>
      <c r="J22" s="10" t="s">
        <v>142</v>
      </c>
      <c r="K22" s="11" t="s">
        <v>290</v>
      </c>
    </row>
    <row r="23" spans="1:11" ht="82.8">
      <c r="A23" s="9" t="s">
        <v>291</v>
      </c>
      <c r="B23" s="10" t="s">
        <v>154</v>
      </c>
      <c r="C23" s="10" t="s">
        <v>292</v>
      </c>
      <c r="D23" s="10" t="s">
        <v>293</v>
      </c>
      <c r="E23" s="10" t="s">
        <v>294</v>
      </c>
      <c r="F23" s="10" t="s">
        <v>138</v>
      </c>
      <c r="G23" s="10"/>
      <c r="H23" s="10" t="s">
        <v>249</v>
      </c>
      <c r="I23" s="10">
        <v>0.9</v>
      </c>
      <c r="J23" s="10" t="s">
        <v>142</v>
      </c>
      <c r="K23" s="11" t="s">
        <v>295</v>
      </c>
    </row>
    <row r="24" spans="1:11" ht="41.4">
      <c r="A24" s="9" t="s">
        <v>296</v>
      </c>
      <c r="B24" s="10" t="s">
        <v>162</v>
      </c>
      <c r="C24" s="10" t="s">
        <v>297</v>
      </c>
      <c r="D24" s="10" t="s">
        <v>298</v>
      </c>
      <c r="E24" s="10" t="s">
        <v>299</v>
      </c>
      <c r="F24" s="10" t="s">
        <v>138</v>
      </c>
      <c r="G24" s="10"/>
      <c r="H24" s="10" t="s">
        <v>249</v>
      </c>
      <c r="I24" s="10">
        <v>0.95</v>
      </c>
      <c r="J24" s="10" t="s">
        <v>142</v>
      </c>
      <c r="K24" s="11" t="s">
        <v>300</v>
      </c>
    </row>
    <row r="25" spans="1:11" ht="27.6">
      <c r="A25" s="9" t="s">
        <v>301</v>
      </c>
      <c r="B25" s="10" t="s">
        <v>162</v>
      </c>
      <c r="C25" s="10" t="s">
        <v>302</v>
      </c>
      <c r="D25" s="10" t="s">
        <v>303</v>
      </c>
      <c r="E25" s="10" t="s">
        <v>299</v>
      </c>
      <c r="F25" s="10" t="s">
        <v>138</v>
      </c>
      <c r="G25" s="10"/>
      <c r="H25" s="10" t="s">
        <v>249</v>
      </c>
      <c r="I25" s="10">
        <v>0.95</v>
      </c>
      <c r="J25" s="10" t="s">
        <v>142</v>
      </c>
      <c r="K25" s="11" t="s">
        <v>304</v>
      </c>
    </row>
    <row r="26" spans="1:11" ht="69">
      <c r="A26" s="9" t="s">
        <v>305</v>
      </c>
      <c r="B26" s="10" t="s">
        <v>167</v>
      </c>
      <c r="C26" s="10" t="s">
        <v>306</v>
      </c>
      <c r="D26" s="10" t="s">
        <v>307</v>
      </c>
      <c r="E26" s="10" t="s">
        <v>308</v>
      </c>
      <c r="F26" s="10" t="s">
        <v>138</v>
      </c>
      <c r="G26" s="10" t="s">
        <v>200</v>
      </c>
      <c r="H26" s="10" t="s">
        <v>249</v>
      </c>
      <c r="I26" s="10">
        <v>0.95</v>
      </c>
      <c r="J26" s="10" t="s">
        <v>142</v>
      </c>
      <c r="K26" s="11" t="s">
        <v>309</v>
      </c>
    </row>
    <row r="27" spans="1:11" ht="41.4">
      <c r="A27" s="9" t="s">
        <v>310</v>
      </c>
      <c r="B27" s="10" t="s">
        <v>167</v>
      </c>
      <c r="C27" s="10" t="s">
        <v>311</v>
      </c>
      <c r="D27" s="10" t="s">
        <v>307</v>
      </c>
      <c r="E27" s="10" t="s">
        <v>308</v>
      </c>
      <c r="F27" s="10" t="s">
        <v>138</v>
      </c>
      <c r="G27" s="10" t="s">
        <v>200</v>
      </c>
      <c r="H27" s="10" t="s">
        <v>249</v>
      </c>
      <c r="I27" s="10">
        <v>0.95</v>
      </c>
      <c r="J27" s="10" t="s">
        <v>142</v>
      </c>
      <c r="K27" s="11" t="s">
        <v>312</v>
      </c>
    </row>
    <row r="28" spans="1:11" ht="55.2">
      <c r="A28" s="9" t="s">
        <v>313</v>
      </c>
      <c r="B28" s="10" t="s">
        <v>167</v>
      </c>
      <c r="C28" s="10" t="s">
        <v>314</v>
      </c>
      <c r="D28" s="10" t="s">
        <v>315</v>
      </c>
      <c r="E28" s="10" t="s">
        <v>316</v>
      </c>
      <c r="F28" s="10" t="s">
        <v>138</v>
      </c>
      <c r="G28" s="10" t="s">
        <v>200</v>
      </c>
      <c r="H28" s="10" t="s">
        <v>249</v>
      </c>
      <c r="I28" s="10">
        <v>0.95</v>
      </c>
      <c r="J28" s="10" t="s">
        <v>142</v>
      </c>
      <c r="K28" s="11" t="s">
        <v>317</v>
      </c>
    </row>
    <row r="29" spans="1:11" ht="69">
      <c r="A29" s="9" t="s">
        <v>318</v>
      </c>
      <c r="B29" s="10" t="s">
        <v>154</v>
      </c>
      <c r="C29" s="10" t="s">
        <v>319</v>
      </c>
      <c r="D29" s="10" t="s">
        <v>320</v>
      </c>
      <c r="E29" s="10" t="s">
        <v>321</v>
      </c>
      <c r="F29" s="10" t="s">
        <v>138</v>
      </c>
      <c r="G29" s="10" t="s">
        <v>200</v>
      </c>
      <c r="H29" s="10" t="s">
        <v>249</v>
      </c>
      <c r="I29" s="10">
        <v>0.85</v>
      </c>
      <c r="J29" s="10" t="s">
        <v>235</v>
      </c>
      <c r="K29" s="11" t="s">
        <v>322</v>
      </c>
    </row>
    <row r="30" spans="1:11" ht="55.2">
      <c r="A30" s="9" t="s">
        <v>323</v>
      </c>
      <c r="B30" s="10" t="s">
        <v>162</v>
      </c>
      <c r="C30" s="10" t="s">
        <v>324</v>
      </c>
      <c r="D30" s="10" t="s">
        <v>325</v>
      </c>
      <c r="E30" s="10" t="s">
        <v>326</v>
      </c>
      <c r="F30" s="10" t="s">
        <v>138</v>
      </c>
      <c r="G30" s="10" t="s">
        <v>200</v>
      </c>
      <c r="H30" s="10" t="s">
        <v>249</v>
      </c>
      <c r="I30" s="10">
        <v>0.9</v>
      </c>
      <c r="J30" s="10" t="s">
        <v>142</v>
      </c>
      <c r="K30" s="11" t="s">
        <v>327</v>
      </c>
    </row>
    <row r="31" spans="1:11" ht="27.6">
      <c r="A31" s="9" t="s">
        <v>328</v>
      </c>
      <c r="B31" s="10" t="s">
        <v>154</v>
      </c>
      <c r="C31" s="10" t="s">
        <v>329</v>
      </c>
      <c r="D31" s="10" t="s">
        <v>330</v>
      </c>
      <c r="E31" s="10" t="s">
        <v>178</v>
      </c>
      <c r="F31" s="10" t="s">
        <v>138</v>
      </c>
      <c r="G31" s="10" t="s">
        <v>200</v>
      </c>
      <c r="H31" s="10" t="s">
        <v>249</v>
      </c>
      <c r="I31" s="10">
        <v>0.95</v>
      </c>
      <c r="J31" s="10" t="s">
        <v>142</v>
      </c>
      <c r="K31" s="11" t="s">
        <v>331</v>
      </c>
    </row>
    <row r="32" spans="1:11" ht="41.4">
      <c r="A32" s="9" t="s">
        <v>332</v>
      </c>
      <c r="B32" s="10" t="s">
        <v>154</v>
      </c>
      <c r="C32" s="10" t="s">
        <v>333</v>
      </c>
      <c r="D32" s="10" t="s">
        <v>330</v>
      </c>
      <c r="E32" s="10" t="s">
        <v>178</v>
      </c>
      <c r="F32" s="10" t="s">
        <v>138</v>
      </c>
      <c r="G32" s="10" t="s">
        <v>200</v>
      </c>
      <c r="H32" s="10" t="s">
        <v>249</v>
      </c>
      <c r="I32" s="10">
        <v>0.95</v>
      </c>
      <c r="J32" s="10" t="s">
        <v>142</v>
      </c>
      <c r="K32" s="11" t="s">
        <v>334</v>
      </c>
    </row>
    <row r="33" spans="1:11" ht="41.4">
      <c r="A33" s="9" t="s">
        <v>335</v>
      </c>
      <c r="B33" s="10" t="s">
        <v>162</v>
      </c>
      <c r="C33" s="10" t="s">
        <v>336</v>
      </c>
      <c r="D33" s="10" t="s">
        <v>330</v>
      </c>
      <c r="E33" s="10" t="s">
        <v>178</v>
      </c>
      <c r="F33" s="10" t="s">
        <v>138</v>
      </c>
      <c r="G33" s="10" t="s">
        <v>200</v>
      </c>
      <c r="H33" s="10" t="s">
        <v>249</v>
      </c>
      <c r="I33" s="10">
        <v>0.95</v>
      </c>
      <c r="J33" s="10" t="s">
        <v>142</v>
      </c>
      <c r="K33" s="11" t="s">
        <v>337</v>
      </c>
    </row>
    <row r="34" spans="1:11" ht="41.4">
      <c r="A34" s="9" t="s">
        <v>338</v>
      </c>
      <c r="B34" s="10" t="s">
        <v>154</v>
      </c>
      <c r="C34" s="10" t="s">
        <v>339</v>
      </c>
      <c r="D34" s="10" t="s">
        <v>340</v>
      </c>
      <c r="E34" s="10" t="s">
        <v>308</v>
      </c>
      <c r="F34" s="10" t="s">
        <v>138</v>
      </c>
      <c r="G34" s="10" t="s">
        <v>211</v>
      </c>
      <c r="H34" s="10" t="s">
        <v>249</v>
      </c>
      <c r="I34" s="10">
        <v>0.95</v>
      </c>
      <c r="J34" s="10" t="s">
        <v>142</v>
      </c>
      <c r="K34" s="11" t="s">
        <v>341</v>
      </c>
    </row>
    <row r="35" spans="1:11" ht="41.4">
      <c r="A35" s="9" t="s">
        <v>342</v>
      </c>
      <c r="B35" s="10" t="s">
        <v>162</v>
      </c>
      <c r="C35" s="10" t="s">
        <v>343</v>
      </c>
      <c r="D35" s="10" t="s">
        <v>330</v>
      </c>
      <c r="E35" s="10" t="s">
        <v>178</v>
      </c>
      <c r="F35" s="10" t="s">
        <v>138</v>
      </c>
      <c r="G35" s="10" t="s">
        <v>211</v>
      </c>
      <c r="H35" s="10" t="s">
        <v>249</v>
      </c>
      <c r="I35" s="10">
        <v>0.95</v>
      </c>
      <c r="J35" s="10" t="s">
        <v>142</v>
      </c>
      <c r="K35" s="11" t="s">
        <v>344</v>
      </c>
    </row>
    <row r="36" spans="1:11" ht="27.6">
      <c r="A36" s="9" t="s">
        <v>345</v>
      </c>
      <c r="B36" s="10" t="s">
        <v>154</v>
      </c>
      <c r="C36" s="10" t="s">
        <v>346</v>
      </c>
      <c r="D36" s="10" t="s">
        <v>347</v>
      </c>
      <c r="E36" s="10" t="s">
        <v>348</v>
      </c>
      <c r="F36" s="10" t="s">
        <v>138</v>
      </c>
      <c r="G36" s="10" t="s">
        <v>207</v>
      </c>
      <c r="H36" s="10" t="s">
        <v>249</v>
      </c>
      <c r="I36" s="10">
        <v>0.95</v>
      </c>
      <c r="J36" s="10" t="s">
        <v>142</v>
      </c>
      <c r="K36" s="11" t="s">
        <v>349</v>
      </c>
    </row>
    <row r="37" spans="1:11" ht="27.6">
      <c r="A37" s="9" t="s">
        <v>350</v>
      </c>
      <c r="B37" s="10" t="s">
        <v>162</v>
      </c>
      <c r="C37" s="10" t="s">
        <v>351</v>
      </c>
      <c r="D37" s="10" t="s">
        <v>352</v>
      </c>
      <c r="E37" s="10" t="s">
        <v>353</v>
      </c>
      <c r="F37" s="10" t="s">
        <v>138</v>
      </c>
      <c r="G37" s="10" t="s">
        <v>207</v>
      </c>
      <c r="H37" s="10" t="s">
        <v>249</v>
      </c>
      <c r="I37" s="10">
        <v>0.95</v>
      </c>
      <c r="J37" s="10" t="s">
        <v>142</v>
      </c>
      <c r="K37" s="11" t="s">
        <v>354</v>
      </c>
    </row>
    <row r="38" spans="1:11" ht="27.6">
      <c r="A38" s="9" t="s">
        <v>355</v>
      </c>
      <c r="B38" s="10" t="s">
        <v>154</v>
      </c>
      <c r="C38" s="10" t="s">
        <v>356</v>
      </c>
      <c r="D38" s="10" t="s">
        <v>357</v>
      </c>
      <c r="E38" s="10" t="s">
        <v>358</v>
      </c>
      <c r="F38" s="10" t="s">
        <v>138</v>
      </c>
      <c r="G38" s="10" t="s">
        <v>200</v>
      </c>
      <c r="H38" s="10" t="s">
        <v>249</v>
      </c>
      <c r="I38" s="10">
        <v>0.95</v>
      </c>
      <c r="J38" s="10" t="s">
        <v>142</v>
      </c>
      <c r="K38" s="11" t="s">
        <v>359</v>
      </c>
    </row>
    <row r="39" spans="1:11" ht="27.6">
      <c r="A39" s="9" t="s">
        <v>360</v>
      </c>
      <c r="B39" s="10" t="s">
        <v>162</v>
      </c>
      <c r="C39" s="10" t="s">
        <v>361</v>
      </c>
      <c r="D39" s="10" t="s">
        <v>362</v>
      </c>
      <c r="E39" s="10" t="s">
        <v>348</v>
      </c>
      <c r="F39" s="10" t="s">
        <v>138</v>
      </c>
      <c r="G39" s="10" t="s">
        <v>200</v>
      </c>
      <c r="H39" s="10" t="s">
        <v>249</v>
      </c>
      <c r="I39" s="10">
        <v>0.95</v>
      </c>
      <c r="J39" s="10" t="s">
        <v>142</v>
      </c>
      <c r="K39" s="11" t="s">
        <v>363</v>
      </c>
    </row>
    <row r="40" spans="1:11" ht="41.4">
      <c r="A40" s="9" t="s">
        <v>364</v>
      </c>
      <c r="B40" s="10" t="s">
        <v>154</v>
      </c>
      <c r="C40" s="10" t="s">
        <v>365</v>
      </c>
      <c r="D40" s="10" t="s">
        <v>366</v>
      </c>
      <c r="E40" s="10" t="s">
        <v>367</v>
      </c>
      <c r="F40" s="10" t="s">
        <v>138</v>
      </c>
      <c r="G40" s="10" t="s">
        <v>200</v>
      </c>
      <c r="H40" s="10" t="s">
        <v>249</v>
      </c>
      <c r="I40" s="10">
        <v>0.95</v>
      </c>
      <c r="J40" s="10" t="s">
        <v>142</v>
      </c>
      <c r="K40" s="11" t="s">
        <v>368</v>
      </c>
    </row>
    <row r="41" spans="1:11" ht="27.6">
      <c r="A41" s="9" t="s">
        <v>369</v>
      </c>
      <c r="B41" s="10" t="s">
        <v>162</v>
      </c>
      <c r="C41" s="10" t="s">
        <v>370</v>
      </c>
      <c r="D41" s="10" t="s">
        <v>371</v>
      </c>
      <c r="E41" s="10" t="s">
        <v>372</v>
      </c>
      <c r="F41" s="10" t="s">
        <v>138</v>
      </c>
      <c r="G41" s="10" t="s">
        <v>200</v>
      </c>
      <c r="H41" s="10" t="s">
        <v>249</v>
      </c>
      <c r="I41" s="10">
        <v>0.95</v>
      </c>
      <c r="J41" s="10" t="s">
        <v>142</v>
      </c>
      <c r="K41" s="11" t="s">
        <v>373</v>
      </c>
    </row>
    <row r="42" spans="1:11" ht="41.4">
      <c r="A42" s="9" t="s">
        <v>374</v>
      </c>
      <c r="B42" s="10" t="s">
        <v>154</v>
      </c>
      <c r="C42" s="10" t="s">
        <v>375</v>
      </c>
      <c r="D42" s="10" t="s">
        <v>376</v>
      </c>
      <c r="E42" s="10" t="s">
        <v>377</v>
      </c>
      <c r="F42" s="10" t="s">
        <v>138</v>
      </c>
      <c r="G42" s="10" t="s">
        <v>234</v>
      </c>
      <c r="H42" s="10" t="s">
        <v>249</v>
      </c>
      <c r="I42" s="10">
        <v>0.95</v>
      </c>
      <c r="J42" s="10" t="s">
        <v>142</v>
      </c>
      <c r="K42" s="11" t="s">
        <v>378</v>
      </c>
    </row>
    <row r="43" spans="1:11" ht="27.6">
      <c r="A43" s="9" t="s">
        <v>379</v>
      </c>
      <c r="B43" s="10" t="s">
        <v>162</v>
      </c>
      <c r="C43" s="10" t="s">
        <v>380</v>
      </c>
      <c r="D43" s="10" t="s">
        <v>381</v>
      </c>
      <c r="E43" s="10" t="s">
        <v>382</v>
      </c>
      <c r="F43" s="10" t="s">
        <v>138</v>
      </c>
      <c r="G43" s="10" t="s">
        <v>234</v>
      </c>
      <c r="H43" s="10" t="s">
        <v>249</v>
      </c>
      <c r="I43" s="10">
        <v>0.95</v>
      </c>
      <c r="J43" s="10" t="s">
        <v>142</v>
      </c>
      <c r="K43" s="11" t="s">
        <v>383</v>
      </c>
    </row>
    <row r="44" spans="1:11" ht="55.2">
      <c r="A44" s="9" t="s">
        <v>384</v>
      </c>
      <c r="B44" s="10" t="s">
        <v>154</v>
      </c>
      <c r="C44" s="10" t="s">
        <v>385</v>
      </c>
      <c r="D44" s="10" t="s">
        <v>386</v>
      </c>
      <c r="E44" s="10" t="s">
        <v>387</v>
      </c>
      <c r="F44" s="10" t="s">
        <v>138</v>
      </c>
      <c r="G44" s="10" t="s">
        <v>200</v>
      </c>
      <c r="H44" s="10" t="s">
        <v>249</v>
      </c>
      <c r="I44" s="10">
        <v>0.95</v>
      </c>
      <c r="J44" s="10" t="s">
        <v>142</v>
      </c>
      <c r="K44" s="11" t="s">
        <v>388</v>
      </c>
    </row>
    <row r="45" spans="1:11" ht="41.4">
      <c r="A45" s="9" t="s">
        <v>389</v>
      </c>
      <c r="B45" s="10" t="s">
        <v>154</v>
      </c>
      <c r="C45" s="10" t="s">
        <v>390</v>
      </c>
      <c r="D45" s="10" t="s">
        <v>391</v>
      </c>
      <c r="E45" s="10" t="s">
        <v>392</v>
      </c>
      <c r="F45" s="10" t="s">
        <v>138</v>
      </c>
      <c r="G45" s="10" t="s">
        <v>207</v>
      </c>
      <c r="H45" s="10" t="s">
        <v>249</v>
      </c>
      <c r="I45" s="10">
        <v>0.95</v>
      </c>
      <c r="J45" s="10" t="s">
        <v>142</v>
      </c>
      <c r="K45" s="11" t="s">
        <v>393</v>
      </c>
    </row>
    <row r="46" spans="1:11" ht="41.4">
      <c r="A46" s="9" t="s">
        <v>394</v>
      </c>
      <c r="B46" s="10" t="s">
        <v>182</v>
      </c>
      <c r="C46" s="10" t="s">
        <v>395</v>
      </c>
      <c r="D46" s="10" t="s">
        <v>396</v>
      </c>
      <c r="E46" s="10" t="s">
        <v>185</v>
      </c>
      <c r="F46" s="10" t="s">
        <v>138</v>
      </c>
      <c r="G46" s="10" t="s">
        <v>397</v>
      </c>
      <c r="H46" s="10" t="s">
        <v>249</v>
      </c>
      <c r="I46" s="10">
        <v>0.92</v>
      </c>
      <c r="J46" s="10" t="s">
        <v>142</v>
      </c>
      <c r="K46" s="11" t="s">
        <v>398</v>
      </c>
    </row>
    <row r="47" spans="1:11" ht="41.4">
      <c r="A47" s="9" t="s">
        <v>399</v>
      </c>
      <c r="B47" s="10" t="s">
        <v>154</v>
      </c>
      <c r="C47" s="10" t="s">
        <v>400</v>
      </c>
      <c r="D47" s="10" t="s">
        <v>401</v>
      </c>
      <c r="E47" s="10" t="s">
        <v>254</v>
      </c>
      <c r="F47" s="10" t="s">
        <v>138</v>
      </c>
      <c r="G47" s="10" t="s">
        <v>397</v>
      </c>
      <c r="H47" s="10" t="s">
        <v>249</v>
      </c>
      <c r="I47" s="10">
        <v>0.95</v>
      </c>
      <c r="J47" s="10" t="s">
        <v>142</v>
      </c>
      <c r="K47" s="11" t="s">
        <v>402</v>
      </c>
    </row>
    <row r="48" spans="1:11" ht="41.4">
      <c r="A48" s="9" t="s">
        <v>403</v>
      </c>
      <c r="B48" s="10" t="s">
        <v>154</v>
      </c>
      <c r="C48" s="10" t="s">
        <v>404</v>
      </c>
      <c r="D48" s="10" t="s">
        <v>405</v>
      </c>
      <c r="E48" s="10" t="s">
        <v>406</v>
      </c>
      <c r="F48" s="10" t="s">
        <v>138</v>
      </c>
      <c r="G48" s="10" t="s">
        <v>407</v>
      </c>
      <c r="H48" s="10" t="s">
        <v>249</v>
      </c>
      <c r="I48" s="10">
        <v>0.95</v>
      </c>
      <c r="J48" s="10" t="s">
        <v>142</v>
      </c>
      <c r="K48" s="11" t="s">
        <v>408</v>
      </c>
    </row>
    <row r="49" spans="1:11" ht="41.4">
      <c r="A49" s="9" t="s">
        <v>409</v>
      </c>
      <c r="B49" s="10" t="s">
        <v>174</v>
      </c>
      <c r="C49" s="10" t="s">
        <v>410</v>
      </c>
      <c r="D49" s="10" t="s">
        <v>411</v>
      </c>
      <c r="E49" s="10" t="s">
        <v>178</v>
      </c>
      <c r="F49" s="10" t="s">
        <v>138</v>
      </c>
      <c r="G49" s="10" t="s">
        <v>407</v>
      </c>
      <c r="H49" s="10" t="s">
        <v>249</v>
      </c>
      <c r="I49" s="10">
        <v>0.92</v>
      </c>
      <c r="J49" s="10" t="s">
        <v>142</v>
      </c>
      <c r="K49" s="11" t="s">
        <v>412</v>
      </c>
    </row>
    <row r="50" spans="1:11" ht="27.6">
      <c r="A50" s="9" t="s">
        <v>413</v>
      </c>
      <c r="B50" s="10" t="s">
        <v>154</v>
      </c>
      <c r="C50" s="10" t="s">
        <v>414</v>
      </c>
      <c r="D50" s="10" t="s">
        <v>415</v>
      </c>
      <c r="E50" s="10" t="s">
        <v>416</v>
      </c>
      <c r="F50" s="10" t="s">
        <v>138</v>
      </c>
      <c r="G50" s="10" t="s">
        <v>417</v>
      </c>
      <c r="H50" s="10" t="s">
        <v>249</v>
      </c>
      <c r="I50" s="10">
        <v>0.95</v>
      </c>
      <c r="J50" s="10" t="s">
        <v>142</v>
      </c>
      <c r="K50" s="11" t="s">
        <v>418</v>
      </c>
    </row>
    <row r="51" spans="1:11" ht="27.6">
      <c r="A51" s="9" t="s">
        <v>419</v>
      </c>
      <c r="B51" s="10" t="s">
        <v>154</v>
      </c>
      <c r="C51" s="10" t="s">
        <v>420</v>
      </c>
      <c r="D51" s="10" t="s">
        <v>415</v>
      </c>
      <c r="E51" s="10" t="s">
        <v>416</v>
      </c>
      <c r="F51" s="10" t="s">
        <v>138</v>
      </c>
      <c r="G51" s="10" t="s">
        <v>421</v>
      </c>
      <c r="H51" s="10" t="s">
        <v>249</v>
      </c>
      <c r="I51" s="10">
        <v>0.95</v>
      </c>
      <c r="J51" s="10" t="s">
        <v>142</v>
      </c>
      <c r="K51" s="11" t="s">
        <v>422</v>
      </c>
    </row>
    <row r="52" spans="1:11" ht="41.4">
      <c r="A52" s="9" t="s">
        <v>423</v>
      </c>
      <c r="B52" s="10" t="s">
        <v>174</v>
      </c>
      <c r="C52" s="10" t="s">
        <v>424</v>
      </c>
      <c r="D52" s="10" t="s">
        <v>425</v>
      </c>
      <c r="E52" s="10" t="s">
        <v>178</v>
      </c>
      <c r="F52" s="10" t="s">
        <v>138</v>
      </c>
      <c r="G52" s="10" t="s">
        <v>426</v>
      </c>
      <c r="H52" s="10" t="s">
        <v>249</v>
      </c>
      <c r="I52" s="10">
        <v>0.92</v>
      </c>
      <c r="J52" s="10" t="s">
        <v>142</v>
      </c>
      <c r="K52" s="11" t="s">
        <v>427</v>
      </c>
    </row>
    <row r="53" spans="1:11" ht="55.2">
      <c r="A53" s="9" t="s">
        <v>428</v>
      </c>
      <c r="B53" s="10" t="s">
        <v>144</v>
      </c>
      <c r="C53" s="10" t="s">
        <v>429</v>
      </c>
      <c r="D53" s="10" t="s">
        <v>430</v>
      </c>
      <c r="E53" s="10" t="s">
        <v>431</v>
      </c>
      <c r="F53" s="10" t="s">
        <v>138</v>
      </c>
      <c r="G53" s="10" t="s">
        <v>397</v>
      </c>
      <c r="H53" s="10" t="s">
        <v>249</v>
      </c>
      <c r="I53" s="10">
        <v>0.95</v>
      </c>
      <c r="J53" s="10" t="s">
        <v>142</v>
      </c>
      <c r="K53" s="11" t="s">
        <v>432</v>
      </c>
    </row>
    <row r="54" spans="1:11" ht="27.6">
      <c r="A54" s="9" t="s">
        <v>433</v>
      </c>
      <c r="B54" s="10" t="s">
        <v>162</v>
      </c>
      <c r="C54" s="10" t="s">
        <v>434</v>
      </c>
      <c r="D54" s="10" t="s">
        <v>435</v>
      </c>
      <c r="E54" s="10" t="s">
        <v>416</v>
      </c>
      <c r="F54" s="10" t="s">
        <v>138</v>
      </c>
      <c r="G54" s="10" t="s">
        <v>397</v>
      </c>
      <c r="H54" s="10" t="s">
        <v>249</v>
      </c>
      <c r="I54" s="10">
        <v>0.95</v>
      </c>
      <c r="J54" s="10" t="s">
        <v>142</v>
      </c>
      <c r="K54" s="11" t="s">
        <v>436</v>
      </c>
    </row>
    <row r="55" spans="1:11" ht="27.6">
      <c r="A55" s="9" t="s">
        <v>437</v>
      </c>
      <c r="B55" s="10" t="s">
        <v>182</v>
      </c>
      <c r="C55" s="10" t="s">
        <v>438</v>
      </c>
      <c r="D55" s="10" t="s">
        <v>396</v>
      </c>
      <c r="E55" s="10" t="s">
        <v>185</v>
      </c>
      <c r="F55" s="10" t="s">
        <v>138</v>
      </c>
      <c r="G55" s="10" t="s">
        <v>397</v>
      </c>
      <c r="H55" s="10" t="s">
        <v>249</v>
      </c>
      <c r="I55" s="10">
        <v>0.92</v>
      </c>
      <c r="J55" s="10" t="s">
        <v>142</v>
      </c>
      <c r="K55" s="11" t="s">
        <v>439</v>
      </c>
    </row>
    <row r="56" spans="1:11" ht="55.2">
      <c r="A56" s="9" t="s">
        <v>440</v>
      </c>
      <c r="B56" s="10" t="s">
        <v>144</v>
      </c>
      <c r="C56" s="10" t="s">
        <v>441</v>
      </c>
      <c r="D56" s="10" t="s">
        <v>442</v>
      </c>
      <c r="E56" s="10" t="s">
        <v>443</v>
      </c>
      <c r="F56" s="10" t="s">
        <v>138</v>
      </c>
      <c r="G56" s="10" t="s">
        <v>200</v>
      </c>
      <c r="H56" s="10" t="s">
        <v>249</v>
      </c>
      <c r="I56" s="10">
        <v>0.95</v>
      </c>
      <c r="J56" s="10" t="s">
        <v>142</v>
      </c>
      <c r="K56" s="11" t="s">
        <v>444</v>
      </c>
    </row>
    <row r="57" spans="1:11" ht="41.4">
      <c r="A57" s="9" t="s">
        <v>445</v>
      </c>
      <c r="B57" s="10" t="s">
        <v>154</v>
      </c>
      <c r="C57" s="10" t="s">
        <v>446</v>
      </c>
      <c r="D57" s="10" t="s">
        <v>447</v>
      </c>
      <c r="E57" s="10" t="s">
        <v>372</v>
      </c>
      <c r="F57" s="10" t="s">
        <v>138</v>
      </c>
      <c r="G57" s="10" t="s">
        <v>207</v>
      </c>
      <c r="H57" s="10" t="s">
        <v>249</v>
      </c>
      <c r="I57" s="10">
        <v>0.95</v>
      </c>
      <c r="J57" s="10" t="s">
        <v>142</v>
      </c>
      <c r="K57" s="11" t="s">
        <v>448</v>
      </c>
    </row>
    <row r="58" spans="1:11" ht="41.4">
      <c r="A58" s="9" t="s">
        <v>449</v>
      </c>
      <c r="B58" s="10" t="s">
        <v>144</v>
      </c>
      <c r="C58" s="10" t="s">
        <v>450</v>
      </c>
      <c r="D58" s="10" t="s">
        <v>451</v>
      </c>
      <c r="E58" s="10" t="s">
        <v>452</v>
      </c>
      <c r="F58" s="10" t="s">
        <v>138</v>
      </c>
      <c r="G58" s="10" t="s">
        <v>200</v>
      </c>
      <c r="H58" s="10" t="s">
        <v>249</v>
      </c>
      <c r="I58" s="10">
        <v>0.95</v>
      </c>
      <c r="J58" s="10" t="s">
        <v>142</v>
      </c>
      <c r="K58" s="11" t="s">
        <v>453</v>
      </c>
    </row>
    <row r="59" spans="1:11" ht="27.6">
      <c r="A59" s="9" t="s">
        <v>454</v>
      </c>
      <c r="B59" s="10" t="s">
        <v>154</v>
      </c>
      <c r="C59" s="10" t="s">
        <v>455</v>
      </c>
      <c r="D59" s="10" t="s">
        <v>447</v>
      </c>
      <c r="E59" s="10" t="s">
        <v>372</v>
      </c>
      <c r="F59" s="10" t="s">
        <v>138</v>
      </c>
      <c r="G59" s="10" t="s">
        <v>200</v>
      </c>
      <c r="H59" s="10" t="s">
        <v>249</v>
      </c>
      <c r="I59" s="10">
        <v>0.95</v>
      </c>
      <c r="J59" s="10" t="s">
        <v>142</v>
      </c>
      <c r="K59" s="11" t="s">
        <v>456</v>
      </c>
    </row>
    <row r="60" spans="1:11" ht="41.4">
      <c r="A60" s="9" t="s">
        <v>457</v>
      </c>
      <c r="B60" s="10" t="s">
        <v>154</v>
      </c>
      <c r="C60" s="10" t="s">
        <v>458</v>
      </c>
      <c r="D60" s="10" t="s">
        <v>459</v>
      </c>
      <c r="E60" s="10" t="s">
        <v>299</v>
      </c>
      <c r="F60" s="10" t="s">
        <v>138</v>
      </c>
      <c r="G60" s="10" t="s">
        <v>200</v>
      </c>
      <c r="H60" s="10" t="s">
        <v>249</v>
      </c>
      <c r="I60" s="10">
        <v>0.95</v>
      </c>
      <c r="J60" s="10" t="s">
        <v>142</v>
      </c>
      <c r="K60" s="11" t="s">
        <v>460</v>
      </c>
    </row>
    <row r="61" spans="1:11" ht="41.4">
      <c r="A61" s="9" t="s">
        <v>461</v>
      </c>
      <c r="B61" s="10" t="s">
        <v>162</v>
      </c>
      <c r="C61" s="10" t="s">
        <v>462</v>
      </c>
      <c r="D61" s="10" t="s">
        <v>463</v>
      </c>
      <c r="E61" s="10" t="s">
        <v>372</v>
      </c>
      <c r="F61" s="10" t="s">
        <v>138</v>
      </c>
      <c r="G61" s="10" t="s">
        <v>200</v>
      </c>
      <c r="H61" s="10" t="s">
        <v>249</v>
      </c>
      <c r="I61" s="10">
        <v>0.95</v>
      </c>
      <c r="J61" s="10" t="s">
        <v>142</v>
      </c>
      <c r="K61" s="11" t="s">
        <v>464</v>
      </c>
    </row>
    <row r="62" spans="1:11" ht="41.4">
      <c r="A62" s="9" t="s">
        <v>465</v>
      </c>
      <c r="B62" s="10" t="s">
        <v>154</v>
      </c>
      <c r="C62" s="10" t="s">
        <v>466</v>
      </c>
      <c r="D62" s="10" t="s">
        <v>459</v>
      </c>
      <c r="E62" s="10" t="s">
        <v>299</v>
      </c>
      <c r="F62" s="10" t="s">
        <v>138</v>
      </c>
      <c r="G62" s="10" t="s">
        <v>467</v>
      </c>
      <c r="H62" s="10" t="s">
        <v>249</v>
      </c>
      <c r="I62" s="10">
        <v>0.95</v>
      </c>
      <c r="J62" s="10" t="s">
        <v>142</v>
      </c>
      <c r="K62" s="11" t="s">
        <v>468</v>
      </c>
    </row>
    <row r="63" spans="1:11" ht="41.4">
      <c r="A63" s="9" t="s">
        <v>469</v>
      </c>
      <c r="B63" s="10" t="s">
        <v>144</v>
      </c>
      <c r="C63" s="10" t="s">
        <v>470</v>
      </c>
      <c r="D63" s="10" t="s">
        <v>471</v>
      </c>
      <c r="E63" s="10" t="s">
        <v>472</v>
      </c>
      <c r="F63" s="10" t="s">
        <v>138</v>
      </c>
      <c r="G63" s="10" t="s">
        <v>200</v>
      </c>
      <c r="H63" s="10" t="s">
        <v>249</v>
      </c>
      <c r="I63" s="10">
        <v>0.95</v>
      </c>
      <c r="J63" s="10" t="s">
        <v>142</v>
      </c>
      <c r="K63" s="11" t="s">
        <v>473</v>
      </c>
    </row>
    <row r="64" spans="1:11" ht="41.4">
      <c r="A64" s="9" t="s">
        <v>474</v>
      </c>
      <c r="B64" s="10" t="s">
        <v>154</v>
      </c>
      <c r="C64" s="10" t="s">
        <v>475</v>
      </c>
      <c r="D64" s="10" t="s">
        <v>476</v>
      </c>
      <c r="E64" s="10" t="s">
        <v>477</v>
      </c>
      <c r="F64" s="10" t="s">
        <v>138</v>
      </c>
      <c r="G64" s="10" t="s">
        <v>478</v>
      </c>
      <c r="H64" s="10" t="s">
        <v>249</v>
      </c>
      <c r="I64" s="10">
        <v>0.95</v>
      </c>
      <c r="J64" s="10" t="s">
        <v>142</v>
      </c>
      <c r="K64" s="11" t="s">
        <v>479</v>
      </c>
    </row>
    <row r="65" spans="1:11" ht="27.6">
      <c r="A65" s="9" t="s">
        <v>480</v>
      </c>
      <c r="B65" s="10" t="s">
        <v>154</v>
      </c>
      <c r="C65" s="10" t="s">
        <v>481</v>
      </c>
      <c r="D65" s="10" t="s">
        <v>366</v>
      </c>
      <c r="E65" s="10" t="s">
        <v>367</v>
      </c>
      <c r="F65" s="10" t="s">
        <v>138</v>
      </c>
      <c r="G65" s="10" t="s">
        <v>200</v>
      </c>
      <c r="H65" s="10" t="s">
        <v>249</v>
      </c>
      <c r="I65" s="10">
        <v>0.95</v>
      </c>
      <c r="J65" s="10" t="s">
        <v>142</v>
      </c>
      <c r="K65" s="11" t="s">
        <v>482</v>
      </c>
    </row>
    <row r="66" spans="1:11" ht="41.4">
      <c r="A66" s="9" t="s">
        <v>483</v>
      </c>
      <c r="B66" s="10" t="s">
        <v>144</v>
      </c>
      <c r="C66" s="10" t="s">
        <v>484</v>
      </c>
      <c r="D66" s="10" t="s">
        <v>485</v>
      </c>
      <c r="E66" s="10" t="s">
        <v>486</v>
      </c>
      <c r="F66" s="10" t="s">
        <v>138</v>
      </c>
      <c r="G66" s="10" t="s">
        <v>487</v>
      </c>
      <c r="H66" s="10" t="s">
        <v>249</v>
      </c>
      <c r="I66" s="10">
        <v>0.95</v>
      </c>
      <c r="J66" s="10" t="s">
        <v>142</v>
      </c>
      <c r="K66" s="11" t="s">
        <v>488</v>
      </c>
    </row>
    <row r="67" spans="1:11" ht="41.4">
      <c r="A67" s="9" t="s">
        <v>489</v>
      </c>
      <c r="B67" s="10" t="s">
        <v>154</v>
      </c>
      <c r="C67" s="10" t="s">
        <v>490</v>
      </c>
      <c r="D67" s="10" t="s">
        <v>491</v>
      </c>
      <c r="E67" s="10" t="s">
        <v>492</v>
      </c>
      <c r="F67" s="10" t="s">
        <v>138</v>
      </c>
      <c r="G67" s="10" t="s">
        <v>493</v>
      </c>
      <c r="H67" s="10" t="s">
        <v>249</v>
      </c>
      <c r="I67" s="10">
        <v>0.95</v>
      </c>
      <c r="J67" s="10" t="s">
        <v>142</v>
      </c>
      <c r="K67" s="11" t="s">
        <v>494</v>
      </c>
    </row>
    <row r="68" spans="1:11" ht="41.4">
      <c r="A68" s="9" t="s">
        <v>495</v>
      </c>
      <c r="B68" s="10" t="s">
        <v>162</v>
      </c>
      <c r="C68" s="10" t="s">
        <v>496</v>
      </c>
      <c r="D68" s="10" t="s">
        <v>497</v>
      </c>
      <c r="E68" s="10" t="s">
        <v>498</v>
      </c>
      <c r="F68" s="10" t="s">
        <v>138</v>
      </c>
      <c r="G68" s="10" t="s">
        <v>200</v>
      </c>
      <c r="H68" s="10" t="s">
        <v>249</v>
      </c>
      <c r="I68" s="10">
        <v>0.95</v>
      </c>
      <c r="J68" s="10" t="s">
        <v>142</v>
      </c>
      <c r="K68" s="11" t="s">
        <v>499</v>
      </c>
    </row>
    <row r="69" spans="1:11" ht="55.2">
      <c r="A69" s="9" t="s">
        <v>500</v>
      </c>
      <c r="B69" s="10" t="s">
        <v>144</v>
      </c>
      <c r="C69" s="10" t="s">
        <v>501</v>
      </c>
      <c r="D69" s="10" t="s">
        <v>502</v>
      </c>
      <c r="E69" s="10" t="s">
        <v>503</v>
      </c>
      <c r="F69" s="10" t="s">
        <v>138</v>
      </c>
      <c r="G69" s="10" t="s">
        <v>467</v>
      </c>
      <c r="H69" s="10" t="s">
        <v>249</v>
      </c>
      <c r="I69" s="10">
        <v>0.95</v>
      </c>
      <c r="J69" s="10" t="s">
        <v>142</v>
      </c>
      <c r="K69" s="11" t="s">
        <v>504</v>
      </c>
    </row>
    <row r="70" spans="1:11" ht="27.6">
      <c r="A70" s="9" t="s">
        <v>505</v>
      </c>
      <c r="B70" s="10" t="s">
        <v>154</v>
      </c>
      <c r="C70" s="10" t="s">
        <v>506</v>
      </c>
      <c r="D70" s="10" t="s">
        <v>376</v>
      </c>
      <c r="E70" s="10" t="s">
        <v>377</v>
      </c>
      <c r="F70" s="10" t="s">
        <v>138</v>
      </c>
      <c r="G70" s="10" t="s">
        <v>200</v>
      </c>
      <c r="H70" s="10" t="s">
        <v>249</v>
      </c>
      <c r="I70" s="10">
        <v>0.95</v>
      </c>
      <c r="J70" s="10" t="s">
        <v>142</v>
      </c>
      <c r="K70" s="11" t="s">
        <v>507</v>
      </c>
    </row>
    <row r="71" spans="1:11" ht="41.4">
      <c r="A71" s="9" t="s">
        <v>508</v>
      </c>
      <c r="B71" s="10" t="s">
        <v>162</v>
      </c>
      <c r="C71" s="10" t="s">
        <v>509</v>
      </c>
      <c r="D71" s="10" t="s">
        <v>381</v>
      </c>
      <c r="E71" s="10" t="s">
        <v>382</v>
      </c>
      <c r="F71" s="10" t="s">
        <v>138</v>
      </c>
      <c r="G71" s="10" t="s">
        <v>200</v>
      </c>
      <c r="H71" s="10" t="s">
        <v>249</v>
      </c>
      <c r="I71" s="10">
        <v>0.95</v>
      </c>
      <c r="J71" s="10" t="s">
        <v>142</v>
      </c>
      <c r="K71" s="11" t="s">
        <v>510</v>
      </c>
    </row>
    <row r="72" spans="1:11" ht="41.4">
      <c r="A72" s="9" t="s">
        <v>511</v>
      </c>
      <c r="B72" s="10" t="s">
        <v>144</v>
      </c>
      <c r="C72" s="10" t="s">
        <v>512</v>
      </c>
      <c r="D72" s="10" t="s">
        <v>513</v>
      </c>
      <c r="E72" s="10" t="s">
        <v>514</v>
      </c>
      <c r="F72" s="10" t="s">
        <v>138</v>
      </c>
      <c r="G72" s="10" t="s">
        <v>200</v>
      </c>
      <c r="H72" s="10" t="s">
        <v>249</v>
      </c>
      <c r="I72" s="10">
        <v>0.95</v>
      </c>
      <c r="J72" s="10" t="s">
        <v>142</v>
      </c>
      <c r="K72" s="11" t="s">
        <v>515</v>
      </c>
    </row>
    <row r="73" spans="1:11" ht="27.6">
      <c r="A73" s="9" t="s">
        <v>516</v>
      </c>
      <c r="B73" s="10" t="s">
        <v>154</v>
      </c>
      <c r="C73" s="10" t="s">
        <v>517</v>
      </c>
      <c r="D73" s="10" t="s">
        <v>415</v>
      </c>
      <c r="E73" s="10" t="s">
        <v>416</v>
      </c>
      <c r="F73" s="10" t="s">
        <v>138</v>
      </c>
      <c r="G73" s="10" t="s">
        <v>200</v>
      </c>
      <c r="H73" s="10" t="s">
        <v>249</v>
      </c>
      <c r="I73" s="10">
        <v>0.95</v>
      </c>
      <c r="J73" s="10" t="s">
        <v>142</v>
      </c>
      <c r="K73" s="11" t="s">
        <v>518</v>
      </c>
    </row>
    <row r="74" spans="1:11" ht="41.4">
      <c r="A74" s="9" t="s">
        <v>519</v>
      </c>
      <c r="B74" s="10" t="s">
        <v>162</v>
      </c>
      <c r="C74" s="10" t="s">
        <v>520</v>
      </c>
      <c r="D74" s="10" t="s">
        <v>521</v>
      </c>
      <c r="E74" s="10" t="s">
        <v>522</v>
      </c>
      <c r="F74" s="10" t="s">
        <v>138</v>
      </c>
      <c r="G74" s="10" t="s">
        <v>200</v>
      </c>
      <c r="H74" s="10" t="s">
        <v>249</v>
      </c>
      <c r="I74" s="10">
        <v>0.95</v>
      </c>
      <c r="J74" s="10" t="s">
        <v>142</v>
      </c>
      <c r="K74" s="11" t="s">
        <v>523</v>
      </c>
    </row>
    <row r="75" spans="1:11" ht="55.2">
      <c r="A75" s="9" t="s">
        <v>524</v>
      </c>
      <c r="B75" s="10" t="s">
        <v>144</v>
      </c>
      <c r="C75" s="10" t="s">
        <v>525</v>
      </c>
      <c r="D75" s="10" t="s">
        <v>526</v>
      </c>
      <c r="E75" s="10" t="s">
        <v>527</v>
      </c>
      <c r="F75" s="10" t="s">
        <v>138</v>
      </c>
      <c r="G75" s="10" t="s">
        <v>528</v>
      </c>
      <c r="H75" s="10" t="s">
        <v>249</v>
      </c>
      <c r="I75" s="10">
        <v>0.95</v>
      </c>
      <c r="J75" s="10" t="s">
        <v>142</v>
      </c>
      <c r="K75" s="11" t="s">
        <v>529</v>
      </c>
    </row>
    <row r="76" spans="1:11" ht="41.4">
      <c r="A76" s="9" t="s">
        <v>530</v>
      </c>
      <c r="B76" s="10" t="s">
        <v>154</v>
      </c>
      <c r="C76" s="10" t="s">
        <v>531</v>
      </c>
      <c r="D76" s="10" t="s">
        <v>376</v>
      </c>
      <c r="E76" s="10" t="s">
        <v>377</v>
      </c>
      <c r="F76" s="10" t="s">
        <v>138</v>
      </c>
      <c r="G76" s="10" t="s">
        <v>200</v>
      </c>
      <c r="H76" s="10" t="s">
        <v>249</v>
      </c>
      <c r="I76" s="10">
        <v>0.95</v>
      </c>
      <c r="J76" s="10" t="s">
        <v>142</v>
      </c>
      <c r="K76" s="11" t="s">
        <v>532</v>
      </c>
    </row>
    <row r="77" spans="1:11" ht="55.2">
      <c r="A77" s="9" t="s">
        <v>533</v>
      </c>
      <c r="B77" s="10" t="s">
        <v>162</v>
      </c>
      <c r="C77" s="10" t="s">
        <v>534</v>
      </c>
      <c r="D77" s="10" t="s">
        <v>535</v>
      </c>
      <c r="E77" s="10" t="s">
        <v>382</v>
      </c>
      <c r="F77" s="10" t="s">
        <v>138</v>
      </c>
      <c r="G77" s="10" t="s">
        <v>200</v>
      </c>
      <c r="H77" s="10" t="s">
        <v>249</v>
      </c>
      <c r="I77" s="10">
        <v>0.95</v>
      </c>
      <c r="J77" s="10" t="s">
        <v>142</v>
      </c>
      <c r="K77" s="11" t="s">
        <v>536</v>
      </c>
    </row>
    <row r="78" spans="1:11" ht="41.4">
      <c r="A78" s="9" t="s">
        <v>537</v>
      </c>
      <c r="B78" s="10" t="s">
        <v>144</v>
      </c>
      <c r="C78" s="10" t="s">
        <v>538</v>
      </c>
      <c r="D78" s="10" t="s">
        <v>539</v>
      </c>
      <c r="E78" s="10" t="s">
        <v>540</v>
      </c>
      <c r="F78" s="10" t="s">
        <v>138</v>
      </c>
      <c r="G78" s="10" t="s">
        <v>200</v>
      </c>
      <c r="H78" s="10" t="s">
        <v>249</v>
      </c>
      <c r="I78" s="10">
        <v>0.95</v>
      </c>
      <c r="J78" s="10" t="s">
        <v>142</v>
      </c>
      <c r="K78" s="11" t="s">
        <v>541</v>
      </c>
    </row>
    <row r="79" spans="1:11" ht="55.2">
      <c r="A79" s="9" t="s">
        <v>542</v>
      </c>
      <c r="B79" s="10" t="s">
        <v>144</v>
      </c>
      <c r="C79" s="10" t="s">
        <v>543</v>
      </c>
      <c r="D79" s="10" t="s">
        <v>539</v>
      </c>
      <c r="E79" s="10" t="s">
        <v>540</v>
      </c>
      <c r="F79" s="10" t="s">
        <v>138</v>
      </c>
      <c r="G79" s="10" t="s">
        <v>200</v>
      </c>
      <c r="H79" s="10" t="s">
        <v>249</v>
      </c>
      <c r="I79" s="10">
        <v>0.95</v>
      </c>
      <c r="J79" s="10" t="s">
        <v>142</v>
      </c>
      <c r="K79" s="11" t="s">
        <v>544</v>
      </c>
    </row>
    <row r="80" spans="1:11" ht="27.6">
      <c r="A80" s="9" t="s">
        <v>545</v>
      </c>
      <c r="B80" s="10" t="s">
        <v>162</v>
      </c>
      <c r="C80" s="10" t="s">
        <v>546</v>
      </c>
      <c r="D80" s="10" t="s">
        <v>547</v>
      </c>
      <c r="E80" s="10" t="s">
        <v>299</v>
      </c>
      <c r="F80" s="10" t="s">
        <v>138</v>
      </c>
      <c r="G80" s="10" t="s">
        <v>200</v>
      </c>
      <c r="H80" s="10" t="s">
        <v>249</v>
      </c>
      <c r="I80" s="10">
        <v>0.95</v>
      </c>
      <c r="J80" s="10" t="s">
        <v>142</v>
      </c>
      <c r="K80" s="11" t="s">
        <v>548</v>
      </c>
    </row>
    <row r="81" spans="1:11" ht="41.4">
      <c r="A81" s="9" t="s">
        <v>549</v>
      </c>
      <c r="B81" s="10" t="s">
        <v>144</v>
      </c>
      <c r="C81" s="10" t="s">
        <v>550</v>
      </c>
      <c r="D81" s="10" t="s">
        <v>551</v>
      </c>
      <c r="E81" s="10" t="s">
        <v>540</v>
      </c>
      <c r="F81" s="10" t="s">
        <v>138</v>
      </c>
      <c r="G81" s="10" t="s">
        <v>200</v>
      </c>
      <c r="H81" s="10" t="s">
        <v>249</v>
      </c>
      <c r="I81" s="10">
        <v>0.95</v>
      </c>
      <c r="J81" s="10" t="s">
        <v>142</v>
      </c>
      <c r="K81" s="11" t="s">
        <v>552</v>
      </c>
    </row>
    <row r="82" spans="1:11" ht="27.6">
      <c r="A82" s="9" t="s">
        <v>553</v>
      </c>
      <c r="B82" s="10" t="s">
        <v>162</v>
      </c>
      <c r="C82" s="10" t="s">
        <v>554</v>
      </c>
      <c r="D82" s="10" t="s">
        <v>547</v>
      </c>
      <c r="E82" s="10" t="s">
        <v>299</v>
      </c>
      <c r="F82" s="10" t="s">
        <v>138</v>
      </c>
      <c r="G82" s="10" t="s">
        <v>200</v>
      </c>
      <c r="H82" s="10" t="s">
        <v>249</v>
      </c>
      <c r="I82" s="10">
        <v>0.95</v>
      </c>
      <c r="J82" s="10" t="s">
        <v>142</v>
      </c>
      <c r="K82" s="11" t="s">
        <v>555</v>
      </c>
    </row>
    <row r="83" spans="1:11" ht="41.4">
      <c r="A83" s="9" t="s">
        <v>556</v>
      </c>
      <c r="B83" s="10" t="s">
        <v>154</v>
      </c>
      <c r="C83" s="10" t="s">
        <v>557</v>
      </c>
      <c r="D83" s="10" t="s">
        <v>558</v>
      </c>
      <c r="E83" s="10" t="s">
        <v>559</v>
      </c>
      <c r="F83" s="10" t="s">
        <v>138</v>
      </c>
      <c r="G83" s="10" t="s">
        <v>200</v>
      </c>
      <c r="H83" s="10" t="s">
        <v>249</v>
      </c>
      <c r="I83" s="10">
        <v>0.95</v>
      </c>
      <c r="J83" s="10" t="s">
        <v>142</v>
      </c>
      <c r="K83" s="11" t="s">
        <v>560</v>
      </c>
    </row>
    <row r="84" spans="1:11" ht="27.6">
      <c r="A84" s="9" t="s">
        <v>561</v>
      </c>
      <c r="B84" s="10" t="s">
        <v>144</v>
      </c>
      <c r="C84" s="10" t="s">
        <v>562</v>
      </c>
      <c r="D84" s="10" t="s">
        <v>563</v>
      </c>
      <c r="E84" s="10" t="s">
        <v>564</v>
      </c>
      <c r="F84" s="10" t="s">
        <v>138</v>
      </c>
      <c r="G84" s="10" t="s">
        <v>200</v>
      </c>
      <c r="H84" s="10" t="s">
        <v>249</v>
      </c>
      <c r="I84" s="10">
        <v>0.95</v>
      </c>
      <c r="J84" s="10" t="s">
        <v>142</v>
      </c>
      <c r="K84" s="11" t="s">
        <v>565</v>
      </c>
    </row>
    <row r="85" spans="1:11" ht="41.4">
      <c r="A85" s="9" t="s">
        <v>566</v>
      </c>
      <c r="B85" s="10" t="s">
        <v>144</v>
      </c>
      <c r="C85" s="10" t="s">
        <v>567</v>
      </c>
      <c r="D85" s="10" t="s">
        <v>568</v>
      </c>
      <c r="E85" s="10" t="s">
        <v>569</v>
      </c>
      <c r="F85" s="10" t="s">
        <v>138</v>
      </c>
      <c r="G85" s="10" t="s">
        <v>200</v>
      </c>
      <c r="H85" s="10" t="s">
        <v>249</v>
      </c>
      <c r="I85" s="10">
        <v>0.95</v>
      </c>
      <c r="J85" s="10" t="s">
        <v>142</v>
      </c>
      <c r="K85" s="11" t="s">
        <v>570</v>
      </c>
    </row>
    <row r="86" spans="1:11" ht="41.4">
      <c r="A86" s="9" t="s">
        <v>571</v>
      </c>
      <c r="B86" s="10" t="s">
        <v>162</v>
      </c>
      <c r="C86" s="10" t="s">
        <v>572</v>
      </c>
      <c r="D86" s="10" t="s">
        <v>547</v>
      </c>
      <c r="E86" s="10" t="s">
        <v>299</v>
      </c>
      <c r="F86" s="10" t="s">
        <v>138</v>
      </c>
      <c r="G86" s="10" t="s">
        <v>200</v>
      </c>
      <c r="H86" s="10" t="s">
        <v>249</v>
      </c>
      <c r="I86" s="10">
        <v>0.95</v>
      </c>
      <c r="J86" s="10" t="s">
        <v>142</v>
      </c>
      <c r="K86" s="11" t="s">
        <v>573</v>
      </c>
    </row>
    <row r="87" spans="1:11" ht="27.6">
      <c r="A87" s="9" t="s">
        <v>1735</v>
      </c>
      <c r="B87" s="10" t="s">
        <v>154</v>
      </c>
      <c r="C87" s="10" t="s">
        <v>1737</v>
      </c>
      <c r="D87" s="10" t="s">
        <v>1739</v>
      </c>
      <c r="E87" s="10" t="s">
        <v>1741</v>
      </c>
      <c r="F87" s="10" t="s">
        <v>138</v>
      </c>
      <c r="G87" s="10" t="s">
        <v>1743</v>
      </c>
      <c r="H87" s="10" t="s">
        <v>249</v>
      </c>
      <c r="I87" s="10">
        <v>0.95</v>
      </c>
      <c r="J87" s="10" t="s">
        <v>180</v>
      </c>
      <c r="K87" s="11" t="s">
        <v>1745</v>
      </c>
    </row>
    <row r="88" spans="1:11" ht="55.2">
      <c r="A88" s="9" t="s">
        <v>1736</v>
      </c>
      <c r="B88" s="10" t="s">
        <v>174</v>
      </c>
      <c r="C88" s="10" t="s">
        <v>1738</v>
      </c>
      <c r="D88" s="10" t="s">
        <v>1740</v>
      </c>
      <c r="E88" s="10" t="s">
        <v>353</v>
      </c>
      <c r="F88" s="10" t="s">
        <v>1742</v>
      </c>
      <c r="G88" s="10" t="s">
        <v>1744</v>
      </c>
      <c r="H88" s="10" t="s">
        <v>249</v>
      </c>
      <c r="I88" s="10">
        <v>0.92</v>
      </c>
      <c r="J88" s="10" t="s">
        <v>180</v>
      </c>
      <c r="K88" s="11" t="s">
        <v>1746</v>
      </c>
    </row>
    <row r="89" spans="1:11" ht="27.6">
      <c r="A89" s="9" t="s">
        <v>1758</v>
      </c>
      <c r="B89" s="10" t="s">
        <v>174</v>
      </c>
      <c r="C89" s="10" t="s">
        <v>1759</v>
      </c>
      <c r="D89" s="10" t="s">
        <v>1740</v>
      </c>
      <c r="E89" s="10" t="s">
        <v>353</v>
      </c>
      <c r="F89" s="10" t="s">
        <v>1742</v>
      </c>
      <c r="G89" s="10" t="s">
        <v>1760</v>
      </c>
      <c r="H89" s="10" t="s">
        <v>249</v>
      </c>
      <c r="I89" s="10">
        <v>0.9</v>
      </c>
      <c r="J89" s="10" t="s">
        <v>180</v>
      </c>
      <c r="K89" s="11" t="s">
        <v>1761</v>
      </c>
    </row>
    <row r="90" spans="1:11" ht="55.2">
      <c r="A90" s="9" t="s">
        <v>1762</v>
      </c>
      <c r="B90" s="10" t="s">
        <v>174</v>
      </c>
      <c r="C90" s="10" t="s">
        <v>1763</v>
      </c>
      <c r="D90" s="10" t="s">
        <v>1764</v>
      </c>
      <c r="E90" s="10" t="s">
        <v>353</v>
      </c>
      <c r="F90" s="10" t="s">
        <v>1742</v>
      </c>
      <c r="G90" s="10" t="s">
        <v>1765</v>
      </c>
      <c r="H90" s="10" t="s">
        <v>249</v>
      </c>
      <c r="I90" s="10">
        <v>0.9</v>
      </c>
      <c r="J90" s="10" t="s">
        <v>1766</v>
      </c>
      <c r="K90" s="11"/>
    </row>
    <row r="91" spans="1:11" ht="55.2">
      <c r="A91" s="9" t="s">
        <v>1767</v>
      </c>
      <c r="B91" s="10" t="s">
        <v>174</v>
      </c>
      <c r="C91" s="10" t="s">
        <v>1768</v>
      </c>
      <c r="D91" s="10" t="s">
        <v>1769</v>
      </c>
      <c r="E91" s="10" t="s">
        <v>353</v>
      </c>
      <c r="F91" s="10" t="s">
        <v>1742</v>
      </c>
      <c r="G91" s="10"/>
      <c r="H91" s="10" t="s">
        <v>249</v>
      </c>
      <c r="I91" s="10">
        <v>0.88</v>
      </c>
      <c r="J91" s="10" t="s">
        <v>1770</v>
      </c>
      <c r="K91" s="11"/>
    </row>
    <row r="92" spans="1:11" ht="41.4">
      <c r="A92" s="9" t="s">
        <v>1780</v>
      </c>
      <c r="B92" s="10" t="s">
        <v>174</v>
      </c>
      <c r="C92" s="10" t="s">
        <v>1782</v>
      </c>
      <c r="D92" s="10" t="s">
        <v>1784</v>
      </c>
      <c r="E92" s="10" t="s">
        <v>353</v>
      </c>
      <c r="F92" s="10" t="s">
        <v>1742</v>
      </c>
      <c r="G92" s="10"/>
      <c r="H92" s="10" t="s">
        <v>249</v>
      </c>
      <c r="I92" s="10">
        <v>0.9</v>
      </c>
      <c r="J92" s="10" t="s">
        <v>180</v>
      </c>
      <c r="K92" s="11" t="s">
        <v>1787</v>
      </c>
    </row>
    <row r="93" spans="1:11" ht="41.4">
      <c r="A93" s="9" t="s">
        <v>1781</v>
      </c>
      <c r="B93" s="10" t="s">
        <v>154</v>
      </c>
      <c r="C93" s="10" t="s">
        <v>1783</v>
      </c>
      <c r="D93" s="10" t="s">
        <v>1785</v>
      </c>
      <c r="E93" s="10" t="s">
        <v>1786</v>
      </c>
      <c r="F93" s="10" t="s">
        <v>138</v>
      </c>
      <c r="G93" s="10"/>
      <c r="H93" s="10" t="s">
        <v>249</v>
      </c>
      <c r="I93" s="10">
        <v>0.95</v>
      </c>
      <c r="J93" s="10" t="s">
        <v>180</v>
      </c>
      <c r="K93" s="11" t="s">
        <v>1788</v>
      </c>
    </row>
    <row r="94" spans="1:1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</row>
  </sheetData>
  <mergeCells count="2">
    <mergeCell ref="A1:K1"/>
    <mergeCell ref="A2:K2"/>
  </mergeCells>
  <phoneticPr fontId="49" type="noConversion"/>
  <conditionalFormatting sqref="J4:J203">
    <cfRule type="containsText" dxfId="26" priority="1" operator="containsText" text="通过"/>
    <cfRule type="containsText" dxfId="25" priority="2" operator="containsText" text="争议"/>
    <cfRule type="containsText" dxfId="24" priority="3" operator="containsText" text="驳回"/>
  </conditionalFormatting>
  <dataValidations count="3">
    <dataValidation type="decimal" sqref="G4:G1003" xr:uid="{00000000-0002-0000-0200-000000000000}">
      <formula1>0</formula1>
      <formula2>1</formula2>
    </dataValidation>
    <dataValidation type="list" sqref="H4:H203" xr:uid="{00000000-0002-0000-0200-000001000000}">
      <formula1>"史料直述,考古测量,地图测量,现代研究,计算结果,推导结论"</formula1>
    </dataValidation>
    <dataValidation type="list" sqref="J4:J203" xr:uid="{00000000-0002-0000-0200-000002000000}">
      <formula1>"草稿,待审核,通过,驳回,争议"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3"/>
  <sheetViews>
    <sheetView showGridLines="0" workbookViewId="0"/>
  </sheetViews>
  <sheetFormatPr defaultColWidth="9" defaultRowHeight="13.8"/>
  <cols>
    <col min="1" max="1" width="17" customWidth="1"/>
    <col min="2" max="3" width="16" customWidth="1"/>
    <col min="4" max="4" width="14" customWidth="1"/>
    <col min="5" max="5" width="20" customWidth="1"/>
    <col min="6" max="6" width="16" customWidth="1"/>
    <col min="7" max="8" width="12" customWidth="1"/>
    <col min="9" max="9" width="30" customWidth="1"/>
    <col min="10" max="10" width="24" customWidth="1"/>
    <col min="11" max="11" width="16" customWidth="1"/>
    <col min="12" max="12" width="18" customWidth="1"/>
    <col min="13" max="13" width="12" customWidth="1"/>
    <col min="14" max="14" width="14" customWidth="1"/>
    <col min="15" max="15" width="34" customWidth="1"/>
  </cols>
  <sheetData>
    <row r="1" spans="1:15" ht="30" customHeight="1">
      <c r="A1" s="105" t="s">
        <v>574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34.049999999999997" customHeight="1">
      <c r="A3" s="4" t="s">
        <v>575</v>
      </c>
      <c r="B3" s="4" t="s">
        <v>576</v>
      </c>
      <c r="C3" s="4" t="s">
        <v>577</v>
      </c>
      <c r="D3" s="4" t="s">
        <v>578</v>
      </c>
      <c r="E3" s="4" t="s">
        <v>579</v>
      </c>
      <c r="F3" s="4" t="s">
        <v>580</v>
      </c>
      <c r="G3" s="4" t="s">
        <v>581</v>
      </c>
      <c r="H3" s="4" t="s">
        <v>582</v>
      </c>
      <c r="I3" s="4" t="s">
        <v>583</v>
      </c>
      <c r="J3" s="4" t="s">
        <v>584</v>
      </c>
      <c r="K3" s="4" t="s">
        <v>117</v>
      </c>
      <c r="L3" s="4" t="s">
        <v>585</v>
      </c>
      <c r="M3" s="4" t="s">
        <v>193</v>
      </c>
      <c r="N3" s="4" t="s">
        <v>129</v>
      </c>
      <c r="O3" s="4" t="s">
        <v>586</v>
      </c>
    </row>
    <row r="4" spans="1:1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1:1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1:1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1:1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1:1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1:1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1:1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1:1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1:1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1:1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1:1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1: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</row>
    <row r="29" spans="1:1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</row>
    <row r="30" spans="1:1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1:1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</row>
    <row r="32" spans="1:1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  <row r="33" spans="1:1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1:1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</row>
    <row r="35" spans="1:1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</row>
    <row r="36" spans="1:1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</row>
    <row r="37" spans="1:1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</row>
    <row r="38" spans="1:1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</row>
    <row r="40" spans="1:1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</row>
    <row r="42" spans="1:1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1:1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</row>
    <row r="44" spans="1:1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</row>
    <row r="47" spans="1:1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1:1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1:1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</row>
    <row r="52" spans="1:1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1"/>
    </row>
    <row r="53" spans="1:1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</row>
    <row r="54" spans="1: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</row>
    <row r="55" spans="1:1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</row>
    <row r="56" spans="1:1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</row>
    <row r="57" spans="1:1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1:1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</row>
    <row r="59" spans="1:1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</row>
    <row r="60" spans="1:1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</row>
    <row r="61" spans="1:1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</row>
    <row r="62" spans="1:1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1:1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spans="1:1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spans="1:1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1"/>
    </row>
    <row r="67" spans="1:1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1"/>
    </row>
    <row r="68" spans="1:1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1"/>
    </row>
    <row r="69" spans="1:1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1"/>
    </row>
    <row r="70" spans="1:1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1"/>
    </row>
    <row r="71" spans="1:1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1"/>
    </row>
    <row r="72" spans="1:1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1"/>
    </row>
    <row r="73" spans="1:1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1"/>
    </row>
    <row r="74" spans="1:1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1"/>
    </row>
    <row r="75" spans="1:1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1"/>
    </row>
    <row r="76" spans="1:1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1"/>
    </row>
    <row r="77" spans="1:1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1"/>
    </row>
    <row r="78" spans="1:1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1"/>
    </row>
    <row r="79" spans="1:1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1"/>
    </row>
    <row r="80" spans="1:1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1"/>
    </row>
    <row r="81" spans="1:1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1"/>
    </row>
    <row r="82" spans="1:1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1"/>
    </row>
    <row r="83" spans="1:1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1"/>
    </row>
    <row r="84" spans="1:1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1"/>
    </row>
    <row r="85" spans="1:1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1"/>
    </row>
    <row r="86" spans="1:1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1"/>
    </row>
    <row r="87" spans="1:1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1"/>
    </row>
    <row r="88" spans="1:1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1"/>
    </row>
    <row r="89" spans="1:1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1"/>
    </row>
    <row r="90" spans="1:1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1"/>
    </row>
    <row r="91" spans="1:1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</row>
    <row r="93" spans="1:1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1"/>
    </row>
    <row r="94" spans="1:1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1"/>
    </row>
    <row r="95" spans="1:1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/>
    </row>
    <row r="96" spans="1:1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1"/>
    </row>
    <row r="97" spans="1:1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1"/>
    </row>
    <row r="98" spans="1:1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1"/>
    </row>
    <row r="99" spans="1:1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1"/>
    </row>
    <row r="100" spans="1:1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1"/>
    </row>
    <row r="101" spans="1:1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1"/>
    </row>
    <row r="102" spans="1:1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1"/>
    </row>
    <row r="103" spans="1:1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1"/>
    </row>
    <row r="104" spans="1:1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1"/>
    </row>
    <row r="105" spans="1:1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1"/>
    </row>
    <row r="106" spans="1:1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1"/>
    </row>
    <row r="107" spans="1:1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1"/>
    </row>
    <row r="108" spans="1:1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1"/>
    </row>
    <row r="109" spans="1:1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1"/>
    </row>
    <row r="110" spans="1:1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1"/>
    </row>
    <row r="111" spans="1:1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1"/>
    </row>
    <row r="112" spans="1:1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1"/>
    </row>
    <row r="113" spans="1:1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1"/>
    </row>
    <row r="114" spans="1:1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1"/>
    </row>
    <row r="115" spans="1:1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1"/>
    </row>
    <row r="116" spans="1:1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1"/>
    </row>
    <row r="117" spans="1:1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1"/>
    </row>
    <row r="118" spans="1:1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1"/>
    </row>
    <row r="119" spans="1:1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1"/>
    </row>
    <row r="120" spans="1:1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1"/>
    </row>
    <row r="121" spans="1:1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1"/>
    </row>
    <row r="122" spans="1:1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1"/>
    </row>
    <row r="123" spans="1:1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1"/>
    </row>
    <row r="124" spans="1:1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1"/>
    </row>
    <row r="125" spans="1:1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1"/>
    </row>
    <row r="126" spans="1:1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1"/>
    </row>
    <row r="127" spans="1:1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1"/>
    </row>
    <row r="128" spans="1:1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1"/>
    </row>
    <row r="129" spans="1:1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1"/>
    </row>
    <row r="130" spans="1:1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1"/>
    </row>
    <row r="131" spans="1:1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1"/>
    </row>
    <row r="132" spans="1:1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1"/>
    </row>
    <row r="133" spans="1:1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1"/>
    </row>
    <row r="134" spans="1:1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1"/>
    </row>
    <row r="135" spans="1:1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1"/>
    </row>
    <row r="136" spans="1:1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1"/>
    </row>
    <row r="137" spans="1:1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1"/>
    </row>
    <row r="138" spans="1:1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1"/>
    </row>
    <row r="139" spans="1:1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1"/>
    </row>
    <row r="140" spans="1:1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1"/>
    </row>
    <row r="141" spans="1:1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1"/>
    </row>
    <row r="142" spans="1:1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1"/>
    </row>
    <row r="143" spans="1:1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1"/>
    </row>
    <row r="144" spans="1:1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1"/>
    </row>
    <row r="145" spans="1:1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1"/>
    </row>
    <row r="146" spans="1:1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1"/>
    </row>
    <row r="147" spans="1:1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1"/>
    </row>
    <row r="148" spans="1:1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1"/>
    </row>
    <row r="149" spans="1:1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1"/>
    </row>
    <row r="150" spans="1:1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1"/>
    </row>
    <row r="151" spans="1:1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1"/>
    </row>
    <row r="152" spans="1:1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1"/>
    </row>
    <row r="153" spans="1:15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1"/>
    </row>
    <row r="154" spans="1:1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1"/>
    </row>
    <row r="155" spans="1:1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1"/>
    </row>
    <row r="156" spans="1:1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1"/>
    </row>
    <row r="157" spans="1:15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1"/>
    </row>
    <row r="158" spans="1:1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1"/>
    </row>
    <row r="159" spans="1:15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1"/>
    </row>
    <row r="160" spans="1:1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1"/>
    </row>
    <row r="161" spans="1:15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1"/>
    </row>
    <row r="162" spans="1:1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1"/>
    </row>
    <row r="163" spans="1:15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1"/>
    </row>
    <row r="164" spans="1:1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1"/>
    </row>
    <row r="165" spans="1:1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1"/>
    </row>
    <row r="166" spans="1:1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1"/>
    </row>
    <row r="167" spans="1:15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1"/>
    </row>
    <row r="168" spans="1:1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1"/>
    </row>
    <row r="169" spans="1:15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1"/>
    </row>
    <row r="170" spans="1:1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1"/>
    </row>
    <row r="171" spans="1:15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1"/>
    </row>
    <row r="172" spans="1:1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1"/>
    </row>
    <row r="173" spans="1:15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1"/>
    </row>
    <row r="174" spans="1:1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1"/>
    </row>
    <row r="175" spans="1:1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1"/>
    </row>
    <row r="176" spans="1:1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1"/>
    </row>
    <row r="177" spans="1:1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1"/>
    </row>
    <row r="178" spans="1:1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1"/>
    </row>
    <row r="179" spans="1:15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1"/>
    </row>
    <row r="180" spans="1:1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1"/>
    </row>
    <row r="181" spans="1:1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1"/>
    </row>
    <row r="182" spans="1:1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1"/>
    </row>
    <row r="183" spans="1:15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1"/>
    </row>
    <row r="184" spans="1:1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1"/>
    </row>
    <row r="185" spans="1:1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1"/>
    </row>
    <row r="186" spans="1:1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1"/>
    </row>
    <row r="187" spans="1:15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1"/>
    </row>
    <row r="188" spans="1:1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1"/>
    </row>
    <row r="189" spans="1:15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1"/>
    </row>
    <row r="190" spans="1:1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1"/>
    </row>
    <row r="191" spans="1:15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1"/>
    </row>
    <row r="192" spans="1:1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1"/>
    </row>
    <row r="193" spans="1:15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1"/>
    </row>
    <row r="194" spans="1:1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1"/>
    </row>
    <row r="195" spans="1:1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1"/>
    </row>
    <row r="196" spans="1:1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1"/>
    </row>
    <row r="197" spans="1:15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1"/>
    </row>
    <row r="198" spans="1:1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1"/>
    </row>
    <row r="199" spans="1:15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1"/>
    </row>
    <row r="200" spans="1:1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1"/>
    </row>
    <row r="201" spans="1:15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1"/>
    </row>
    <row r="202" spans="1:1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1"/>
    </row>
    <row r="203" spans="1:1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4"/>
    </row>
  </sheetData>
  <mergeCells count="2">
    <mergeCell ref="A1:O1"/>
    <mergeCell ref="A2:O2"/>
  </mergeCells>
  <phoneticPr fontId="49" type="noConversion"/>
  <conditionalFormatting sqref="N4:N203">
    <cfRule type="containsText" dxfId="23" priority="1" operator="containsText" text="通过"/>
    <cfRule type="containsText" dxfId="22" priority="2" operator="containsText" text="争议"/>
    <cfRule type="containsText" dxfId="21" priority="3" operator="containsText" text="驳回"/>
  </conditionalFormatting>
  <dataValidations count="3">
    <dataValidation type="decimal" sqref="L4:L1003" xr:uid="{00000000-0002-0000-0300-000001000000}">
      <formula1>0</formula1>
      <formula2>1</formula2>
    </dataValidation>
    <dataValidation type="list" sqref="D4:D203" xr:uid="{00000000-0002-0000-0300-000002000000}">
      <formula1>"Fang,Market,Road,Canal,Gate,Building,Person,Event,Reference,Rule"</formula1>
    </dataValidation>
    <dataValidation type="list" sqref="N4:N203" xr:uid="{00000000-0002-0000-0300-000003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代码对照!$A$2:$A$9</xm:f>
          </x14:formula1>
          <xm:sqref>C4:C1003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3"/>
  <sheetViews>
    <sheetView showGridLines="0" workbookViewId="0"/>
  </sheetViews>
  <sheetFormatPr defaultColWidth="9" defaultRowHeight="13.8"/>
  <cols>
    <col min="1" max="2" width="17" customWidth="1"/>
    <col min="3" max="3" width="16" customWidth="1"/>
    <col min="4" max="4" width="17" customWidth="1"/>
    <col min="5" max="5" width="16" customWidth="1"/>
    <col min="6" max="6" width="18" customWidth="1"/>
    <col min="7" max="7" width="30" customWidth="1"/>
    <col min="8" max="8" width="20" customWidth="1"/>
    <col min="9" max="9" width="18" customWidth="1"/>
    <col min="10" max="12" width="12" customWidth="1"/>
    <col min="13" max="13" width="36" customWidth="1"/>
    <col min="14" max="14" width="16" customWidth="1"/>
    <col min="15" max="15" width="14" customWidth="1"/>
    <col min="16" max="16" width="26" customWidth="1"/>
  </cols>
  <sheetData>
    <row r="1" spans="1:16" ht="30" customHeight="1">
      <c r="A1" s="105" t="s">
        <v>587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ht="34.049999999999997" customHeight="1">
      <c r="A3" s="4" t="s">
        <v>588</v>
      </c>
      <c r="B3" s="4" t="s">
        <v>117</v>
      </c>
      <c r="C3" s="4" t="s">
        <v>589</v>
      </c>
      <c r="D3" s="4" t="s">
        <v>590</v>
      </c>
      <c r="E3" s="4" t="s">
        <v>591</v>
      </c>
      <c r="F3" s="4" t="s">
        <v>592</v>
      </c>
      <c r="G3" s="4" t="s">
        <v>593</v>
      </c>
      <c r="H3" s="4" t="s">
        <v>594</v>
      </c>
      <c r="I3" s="4" t="s">
        <v>585</v>
      </c>
      <c r="J3" s="4" t="s">
        <v>193</v>
      </c>
      <c r="K3" s="4" t="s">
        <v>581</v>
      </c>
      <c r="L3" s="4" t="s">
        <v>582</v>
      </c>
      <c r="M3" s="4" t="s">
        <v>595</v>
      </c>
      <c r="N3" s="4" t="s">
        <v>192</v>
      </c>
      <c r="O3" s="4" t="s">
        <v>129</v>
      </c>
      <c r="P3" s="4" t="s">
        <v>194</v>
      </c>
    </row>
    <row r="4" spans="1:16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1:16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1:16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1:16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1:16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  <row r="16" spans="1: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spans="1:1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r="18" spans="1:1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spans="1:1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spans="1:1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</row>
    <row r="21" spans="1:1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spans="1:1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  <row r="23" spans="1:1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</row>
    <row r="24" spans="1:1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</row>
    <row r="25" spans="1:1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spans="1:1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spans="1:1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</row>
    <row r="28" spans="1:1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 spans="1:1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1:1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1:1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  <row r="35" spans="1:1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 spans="1:1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1"/>
    </row>
    <row r="37" spans="1:1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</row>
    <row r="38" spans="1:1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"/>
    </row>
    <row r="39" spans="1:1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  <row r="40" spans="1:1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1"/>
    </row>
    <row r="41" spans="1:1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spans="1:1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1"/>
    </row>
    <row r="43" spans="1:1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1"/>
    </row>
    <row r="44" spans="1:1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1"/>
    </row>
    <row r="45" spans="1:1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1:1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</row>
    <row r="47" spans="1:1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</row>
    <row r="48" spans="1:1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</row>
    <row r="49" spans="1:1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</row>
    <row r="50" spans="1:1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</row>
    <row r="51" spans="1:1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</row>
    <row r="52" spans="1:1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spans="1:1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/>
    </row>
    <row r="54" spans="1:1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1"/>
    </row>
    <row r="55" spans="1:1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</row>
    <row r="56" spans="1:1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1"/>
    </row>
    <row r="57" spans="1:1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</row>
    <row r="58" spans="1:1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</row>
    <row r="59" spans="1:1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/>
    </row>
    <row r="60" spans="1:1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</row>
    <row r="61" spans="1:1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</row>
    <row r="62" spans="1:1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</row>
    <row r="63" spans="1:1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</row>
    <row r="64" spans="1:1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</row>
    <row r="65" spans="1:1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</row>
    <row r="66" spans="1:1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1"/>
    </row>
    <row r="67" spans="1:1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1"/>
    </row>
    <row r="68" spans="1:1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/>
    </row>
    <row r="69" spans="1:1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1"/>
    </row>
    <row r="70" spans="1:1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/>
    </row>
    <row r="71" spans="1:1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</row>
    <row r="72" spans="1:1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/>
    </row>
    <row r="73" spans="1:1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</row>
    <row r="74" spans="1:1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</row>
    <row r="75" spans="1:1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1"/>
    </row>
    <row r="76" spans="1:1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</row>
    <row r="77" spans="1:1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1"/>
    </row>
    <row r="78" spans="1:1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1"/>
    </row>
    <row r="79" spans="1:1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1"/>
    </row>
    <row r="80" spans="1:1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1"/>
    </row>
    <row r="81" spans="1:1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1"/>
    </row>
    <row r="82" spans="1:1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1"/>
    </row>
    <row r="83" spans="1:1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1"/>
    </row>
    <row r="84" spans="1:1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1"/>
    </row>
    <row r="85" spans="1:1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1"/>
    </row>
    <row r="86" spans="1:1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1"/>
    </row>
    <row r="87" spans="1:1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1"/>
    </row>
    <row r="88" spans="1:1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1"/>
    </row>
    <row r="89" spans="1:1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1"/>
    </row>
    <row r="90" spans="1:1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1"/>
    </row>
    <row r="91" spans="1:1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1"/>
    </row>
    <row r="92" spans="1:1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/>
    </row>
    <row r="93" spans="1:1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1"/>
    </row>
    <row r="94" spans="1:1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1"/>
    </row>
    <row r="95" spans="1:1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/>
    </row>
    <row r="96" spans="1:1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1"/>
    </row>
    <row r="97" spans="1:1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1"/>
    </row>
    <row r="98" spans="1:1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1"/>
    </row>
    <row r="99" spans="1:1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1"/>
    </row>
    <row r="100" spans="1:1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1"/>
    </row>
    <row r="101" spans="1:1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/>
    </row>
    <row r="102" spans="1:1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1"/>
    </row>
    <row r="103" spans="1:1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1"/>
    </row>
    <row r="104" spans="1:1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/>
    </row>
    <row r="105" spans="1:1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1"/>
    </row>
    <row r="106" spans="1:1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1"/>
    </row>
    <row r="107" spans="1:1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1"/>
    </row>
    <row r="108" spans="1:1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1"/>
    </row>
    <row r="109" spans="1:1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1"/>
    </row>
    <row r="110" spans="1:1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/>
    </row>
    <row r="111" spans="1:1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1"/>
    </row>
    <row r="112" spans="1:1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1"/>
    </row>
    <row r="113" spans="1:1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/>
    </row>
    <row r="114" spans="1:1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1"/>
    </row>
    <row r="115" spans="1:1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1"/>
    </row>
    <row r="116" spans="1:1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1"/>
    </row>
    <row r="117" spans="1:1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1"/>
    </row>
    <row r="118" spans="1:1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1"/>
    </row>
    <row r="119" spans="1:1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/>
    </row>
    <row r="120" spans="1:1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1"/>
    </row>
    <row r="121" spans="1:1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1"/>
    </row>
    <row r="122" spans="1:1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/>
    </row>
    <row r="123" spans="1:1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1"/>
    </row>
    <row r="124" spans="1:1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1"/>
    </row>
    <row r="125" spans="1:1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1"/>
    </row>
    <row r="126" spans="1:1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1"/>
    </row>
    <row r="127" spans="1:1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1"/>
    </row>
    <row r="128" spans="1:1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/>
    </row>
    <row r="129" spans="1:1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1"/>
    </row>
    <row r="130" spans="1:1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1"/>
    </row>
    <row r="131" spans="1:1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/>
    </row>
    <row r="132" spans="1:1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1"/>
    </row>
    <row r="133" spans="1:1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1"/>
    </row>
    <row r="134" spans="1:1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1"/>
    </row>
    <row r="135" spans="1:1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1"/>
    </row>
    <row r="136" spans="1:1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1"/>
    </row>
    <row r="137" spans="1:1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1"/>
    </row>
    <row r="138" spans="1:1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1"/>
    </row>
    <row r="139" spans="1:1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1"/>
    </row>
    <row r="140" spans="1:1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1"/>
    </row>
    <row r="141" spans="1:1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1"/>
    </row>
    <row r="142" spans="1:1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1"/>
    </row>
    <row r="143" spans="1:1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1"/>
    </row>
    <row r="144" spans="1:1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1"/>
    </row>
    <row r="145" spans="1:1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1"/>
    </row>
    <row r="146" spans="1:1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1"/>
    </row>
    <row r="147" spans="1:1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1"/>
    </row>
    <row r="148" spans="1:1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1"/>
    </row>
    <row r="149" spans="1:1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1"/>
    </row>
    <row r="150" spans="1:1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1"/>
    </row>
    <row r="151" spans="1:1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1"/>
    </row>
    <row r="152" spans="1:1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1"/>
    </row>
    <row r="153" spans="1:1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1"/>
    </row>
    <row r="154" spans="1:1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1"/>
    </row>
    <row r="155" spans="1:1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1"/>
    </row>
    <row r="156" spans="1:1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1"/>
    </row>
    <row r="157" spans="1:1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1"/>
    </row>
    <row r="158" spans="1:1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1"/>
    </row>
    <row r="159" spans="1:1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1"/>
    </row>
    <row r="160" spans="1:1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1"/>
    </row>
    <row r="161" spans="1:1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1"/>
    </row>
    <row r="162" spans="1:1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1"/>
    </row>
    <row r="163" spans="1:1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1"/>
    </row>
    <row r="164" spans="1:1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1"/>
    </row>
    <row r="165" spans="1:1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1"/>
    </row>
    <row r="166" spans="1:1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1"/>
    </row>
    <row r="167" spans="1:1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1"/>
    </row>
    <row r="168" spans="1:1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1"/>
    </row>
    <row r="169" spans="1:1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1"/>
    </row>
    <row r="170" spans="1:1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1"/>
    </row>
    <row r="171" spans="1:1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1"/>
    </row>
    <row r="172" spans="1:1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1"/>
    </row>
    <row r="173" spans="1:1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1"/>
    </row>
    <row r="174" spans="1:1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1"/>
    </row>
    <row r="175" spans="1:1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1"/>
    </row>
    <row r="176" spans="1:1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1"/>
    </row>
    <row r="177" spans="1:1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1"/>
    </row>
    <row r="178" spans="1:1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1"/>
    </row>
    <row r="179" spans="1:1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1"/>
    </row>
    <row r="180" spans="1:1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1"/>
    </row>
    <row r="181" spans="1:1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1"/>
    </row>
    <row r="182" spans="1:1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1"/>
    </row>
    <row r="183" spans="1:1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1"/>
    </row>
    <row r="184" spans="1:1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1"/>
    </row>
    <row r="185" spans="1:1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1"/>
    </row>
    <row r="186" spans="1:1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1"/>
    </row>
    <row r="187" spans="1:1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1"/>
    </row>
    <row r="188" spans="1:1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1"/>
    </row>
    <row r="189" spans="1:1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1"/>
    </row>
    <row r="190" spans="1:1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1"/>
    </row>
    <row r="191" spans="1:1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1"/>
    </row>
    <row r="192" spans="1:1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1"/>
    </row>
    <row r="193" spans="1:1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1"/>
    </row>
    <row r="194" spans="1:1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1"/>
    </row>
    <row r="195" spans="1:1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1"/>
    </row>
    <row r="196" spans="1:1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1"/>
    </row>
    <row r="197" spans="1:1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1"/>
    </row>
    <row r="198" spans="1:1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1"/>
    </row>
    <row r="199" spans="1:1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1"/>
    </row>
    <row r="200" spans="1:1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1"/>
    </row>
    <row r="201" spans="1:1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1"/>
    </row>
    <row r="202" spans="1:1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1"/>
    </row>
    <row r="203" spans="1:16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4"/>
    </row>
  </sheetData>
  <mergeCells count="2">
    <mergeCell ref="A1:P1"/>
    <mergeCell ref="A2:P2"/>
  </mergeCells>
  <phoneticPr fontId="49" type="noConversion"/>
  <conditionalFormatting sqref="O4:O203">
    <cfRule type="containsText" dxfId="20" priority="1" operator="containsText" text="通过"/>
    <cfRule type="containsText" dxfId="19" priority="2" operator="containsText" text="争议"/>
    <cfRule type="containsText" dxfId="18" priority="3" operator="containsText" text="驳回"/>
  </conditionalFormatting>
  <dataValidations count="4">
    <dataValidation type="decimal" sqref="G4:G1003" xr:uid="{00000000-0002-0000-0400-000001000000}">
      <formula1>0</formula1>
      <formula2>1</formula2>
    </dataValidation>
    <dataValidation type="list" sqref="F4:F203" xr:uid="{00000000-0002-0000-0400-000002000000}">
      <formula1>"LOCATED_IN,LOCATED_ALONG,EAST_OF,WEST_OF,SOUTH_OF,NORTH_OF,NORTHEAST_OF,ADJACENT_TO,NEAR,FACING,CONNECTS_TO,FLOWS_TO,SUPPLIES,SERVES,HAS_FUNCTION,ASSOCIATED_WITH,INVOLVED,MEASURED_AS"</formula1>
    </dataValidation>
    <dataValidation type="list" sqref="N4:N203" xr:uid="{00000000-0002-0000-0400-000003000000}">
      <formula1>"史料直述,考古测量,地图测量,现代研究,计算结果,推导结论"</formula1>
    </dataValidation>
    <dataValidation type="list" sqref="O4:O203" xr:uid="{00000000-0002-0000-0400-000004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代码对照!$D$2:$D$11</xm:f>
          </x14:formula1>
          <xm:sqref>D4:D1003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showGridLines="0" workbookViewId="0"/>
  </sheetViews>
  <sheetFormatPr defaultRowHeight="13.8"/>
  <cols>
    <col min="1" max="1" width="23" customWidth="1"/>
    <col min="2" max="2" width="46" customWidth="1"/>
    <col min="3" max="4" width="18" customWidth="1"/>
    <col min="5" max="5" width="13" customWidth="1"/>
    <col min="6" max="9" width="19" customWidth="1"/>
    <col min="10" max="10" width="20" customWidth="1"/>
    <col min="11" max="12" width="12" customWidth="1"/>
  </cols>
  <sheetData>
    <row r="1" spans="1:12" ht="30" customHeight="1">
      <c r="A1" s="108" t="s">
        <v>596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3" spans="1:12" ht="22.95" customHeight="1">
      <c r="A3" s="56" t="s">
        <v>597</v>
      </c>
      <c r="B3" s="51" t="s">
        <v>598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2.95" customHeight="1">
      <c r="A4" s="57" t="s">
        <v>599</v>
      </c>
      <c r="B4" s="52" t="s">
        <v>600</v>
      </c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4.049999999999997" customHeight="1">
      <c r="A5" s="57" t="s">
        <v>601</v>
      </c>
      <c r="B5" s="52" t="s">
        <v>602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34.049999999999997" customHeight="1">
      <c r="A6" s="57" t="s">
        <v>603</v>
      </c>
      <c r="B6" s="52" t="s">
        <v>604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34.049999999999997" customHeight="1">
      <c r="A7" s="57" t="s">
        <v>605</v>
      </c>
      <c r="B7" s="52" t="s">
        <v>606</v>
      </c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1:12" ht="34.049999999999997" customHeight="1">
      <c r="A8" s="57" t="s">
        <v>607</v>
      </c>
      <c r="B8" s="52" t="s">
        <v>608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ht="34.049999999999997" customHeight="1">
      <c r="A9" s="57" t="s">
        <v>609</v>
      </c>
      <c r="B9" s="52" t="s">
        <v>610</v>
      </c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22.95" customHeight="1">
      <c r="A10" s="58" t="s">
        <v>611</v>
      </c>
      <c r="B10" s="52" t="s">
        <v>612</v>
      </c>
      <c r="C10" s="50"/>
      <c r="D10" s="50"/>
      <c r="E10" s="50"/>
      <c r="F10" s="50"/>
      <c r="G10" s="109"/>
      <c r="H10" s="109"/>
      <c r="I10" s="109"/>
      <c r="J10" s="109"/>
      <c r="K10" s="109"/>
      <c r="L10" s="109"/>
    </row>
    <row r="11" spans="1:12" ht="22.95" customHeight="1">
      <c r="A11" s="59"/>
      <c r="B11" s="59"/>
      <c r="C11" s="50"/>
      <c r="D11" s="59"/>
      <c r="E11" s="59"/>
      <c r="F11" s="50"/>
      <c r="G11" s="59"/>
      <c r="H11" s="59"/>
      <c r="I11" s="59"/>
      <c r="J11" s="59"/>
      <c r="K11" s="59"/>
      <c r="L11" s="59"/>
    </row>
    <row r="12" spans="1:12" ht="22.95" customHeight="1">
      <c r="A12" s="51" t="s">
        <v>613</v>
      </c>
      <c r="B12" s="53" t="s">
        <v>614</v>
      </c>
      <c r="C12" s="54" t="s">
        <v>615</v>
      </c>
      <c r="D12" s="53" t="s">
        <v>616</v>
      </c>
      <c r="E12" s="47"/>
      <c r="F12" s="54" t="s">
        <v>617</v>
      </c>
      <c r="G12" s="51" t="s">
        <v>618</v>
      </c>
      <c r="H12" s="51" t="s">
        <v>615</v>
      </c>
      <c r="I12" s="51" t="s">
        <v>616</v>
      </c>
      <c r="J12" s="51" t="s">
        <v>619</v>
      </c>
      <c r="K12" s="51" t="s">
        <v>614</v>
      </c>
      <c r="L12" s="51" t="s">
        <v>618</v>
      </c>
    </row>
    <row r="13" spans="1:12" ht="22.95" customHeight="1">
      <c r="A13" s="52" t="s">
        <v>620</v>
      </c>
      <c r="B13" s="55">
        <v>-5</v>
      </c>
      <c r="C13" s="52" t="s">
        <v>621</v>
      </c>
      <c r="D13" s="55" t="s">
        <v>622</v>
      </c>
      <c r="E13" s="47"/>
      <c r="F13" s="52" t="s">
        <v>623</v>
      </c>
      <c r="G13" s="52">
        <v>-3</v>
      </c>
      <c r="H13" s="52" t="s">
        <v>624</v>
      </c>
      <c r="I13" s="52" t="s">
        <v>625</v>
      </c>
      <c r="J13" s="52" t="s">
        <v>626</v>
      </c>
      <c r="K13" s="52">
        <v>3</v>
      </c>
      <c r="L13" s="52">
        <v>1</v>
      </c>
    </row>
    <row r="14" spans="1:12" ht="22.95" customHeight="1">
      <c r="A14" s="52" t="s">
        <v>627</v>
      </c>
      <c r="B14" s="55">
        <v>-4</v>
      </c>
      <c r="C14" s="52" t="s">
        <v>628</v>
      </c>
      <c r="D14" s="55" t="s">
        <v>629</v>
      </c>
      <c r="E14" s="47"/>
      <c r="F14" s="52" t="s">
        <v>623</v>
      </c>
      <c r="G14" s="52">
        <v>-2</v>
      </c>
      <c r="H14" s="52" t="s">
        <v>624</v>
      </c>
      <c r="I14" s="52" t="s">
        <v>630</v>
      </c>
      <c r="J14" s="52" t="s">
        <v>631</v>
      </c>
      <c r="K14" s="52">
        <v>-5</v>
      </c>
      <c r="L14" s="52">
        <v>-3</v>
      </c>
    </row>
    <row r="15" spans="1:12" ht="22.95" customHeight="1">
      <c r="A15" s="52" t="s">
        <v>632</v>
      </c>
      <c r="B15" s="55">
        <v>-3</v>
      </c>
      <c r="C15" s="52" t="s">
        <v>633</v>
      </c>
      <c r="D15" s="55" t="s">
        <v>634</v>
      </c>
      <c r="E15" s="47"/>
      <c r="F15" s="52" t="s">
        <v>623</v>
      </c>
      <c r="G15" s="52">
        <v>-1</v>
      </c>
      <c r="H15" s="52" t="s">
        <v>624</v>
      </c>
      <c r="I15" s="52" t="s">
        <v>635</v>
      </c>
      <c r="J15" s="52" t="s">
        <v>636</v>
      </c>
      <c r="K15" s="52">
        <v>-4</v>
      </c>
      <c r="L15" s="52">
        <v>-3</v>
      </c>
    </row>
    <row r="16" spans="1:12" ht="22.95" customHeight="1">
      <c r="A16" s="52" t="s">
        <v>637</v>
      </c>
      <c r="B16" s="55">
        <v>-2</v>
      </c>
      <c r="C16" s="52" t="s">
        <v>638</v>
      </c>
      <c r="D16" s="55" t="s">
        <v>639</v>
      </c>
      <c r="E16" s="47"/>
      <c r="F16" s="52" t="s">
        <v>623</v>
      </c>
      <c r="G16" s="52">
        <v>0</v>
      </c>
      <c r="H16" s="52" t="s">
        <v>624</v>
      </c>
      <c r="I16" s="52" t="s">
        <v>640</v>
      </c>
      <c r="J16" s="52" t="s">
        <v>641</v>
      </c>
      <c r="K16" s="52">
        <v>-3</v>
      </c>
      <c r="L16" s="52">
        <v>-3</v>
      </c>
    </row>
    <row r="17" spans="1:12" ht="22.95" customHeight="1">
      <c r="A17" s="52" t="s">
        <v>642</v>
      </c>
      <c r="B17" s="55">
        <v>-1</v>
      </c>
      <c r="C17" s="52" t="s">
        <v>643</v>
      </c>
      <c r="D17" s="55" t="s">
        <v>644</v>
      </c>
      <c r="E17" s="47"/>
      <c r="F17" s="52" t="s">
        <v>645</v>
      </c>
      <c r="G17" s="52">
        <v>1</v>
      </c>
      <c r="H17" s="52" t="s">
        <v>646</v>
      </c>
      <c r="I17" s="52" t="s">
        <v>647</v>
      </c>
      <c r="J17" s="52" t="s">
        <v>648</v>
      </c>
      <c r="K17" s="52">
        <v>-5</v>
      </c>
      <c r="L17" s="52">
        <v>-2</v>
      </c>
    </row>
    <row r="18" spans="1:12" ht="22.95" customHeight="1">
      <c r="A18" s="52" t="s">
        <v>649</v>
      </c>
      <c r="B18" s="55">
        <v>0</v>
      </c>
      <c r="C18" s="52" t="s">
        <v>650</v>
      </c>
      <c r="D18" s="55" t="s">
        <v>651</v>
      </c>
      <c r="E18" s="47"/>
      <c r="F18" s="52" t="s">
        <v>652</v>
      </c>
      <c r="G18" s="52">
        <v>2</v>
      </c>
      <c r="H18" s="52" t="s">
        <v>646</v>
      </c>
      <c r="I18" s="52" t="s">
        <v>653</v>
      </c>
      <c r="J18" s="52" t="s">
        <v>654</v>
      </c>
      <c r="K18" s="52">
        <v>-4</v>
      </c>
      <c r="L18" s="52">
        <v>-2</v>
      </c>
    </row>
    <row r="19" spans="1:12" ht="22.95" customHeight="1">
      <c r="A19" s="52" t="s">
        <v>655</v>
      </c>
      <c r="B19" s="55">
        <v>1</v>
      </c>
      <c r="C19" s="52" t="s">
        <v>656</v>
      </c>
      <c r="D19" s="55" t="s">
        <v>657</v>
      </c>
      <c r="E19" s="47"/>
      <c r="F19" s="52" t="s">
        <v>658</v>
      </c>
      <c r="G19" s="52">
        <v>3</v>
      </c>
      <c r="H19" s="52" t="s">
        <v>646</v>
      </c>
      <c r="I19" s="52" t="s">
        <v>659</v>
      </c>
      <c r="J19" s="50"/>
      <c r="K19" s="50"/>
      <c r="L19" s="50"/>
    </row>
    <row r="20" spans="1:12" ht="22.95" customHeight="1">
      <c r="A20" s="52" t="s">
        <v>660</v>
      </c>
      <c r="B20" s="55">
        <v>2</v>
      </c>
      <c r="C20" s="52" t="s">
        <v>661</v>
      </c>
      <c r="D20" s="55" t="s">
        <v>662</v>
      </c>
      <c r="E20" s="47"/>
      <c r="F20" s="52" t="s">
        <v>663</v>
      </c>
      <c r="G20" s="52">
        <v>4</v>
      </c>
      <c r="H20" s="52" t="s">
        <v>646</v>
      </c>
      <c r="I20" s="52" t="s">
        <v>664</v>
      </c>
      <c r="J20" s="50"/>
      <c r="K20" s="50"/>
      <c r="L20" s="50"/>
    </row>
    <row r="21" spans="1:12" ht="22.95" customHeight="1">
      <c r="A21" s="52" t="s">
        <v>665</v>
      </c>
      <c r="B21" s="55">
        <v>3</v>
      </c>
      <c r="C21" s="52" t="s">
        <v>666</v>
      </c>
      <c r="D21" s="55" t="s">
        <v>667</v>
      </c>
      <c r="E21" s="47"/>
      <c r="F21" s="52" t="s">
        <v>668</v>
      </c>
      <c r="G21" s="52">
        <v>5</v>
      </c>
      <c r="H21" s="52" t="s">
        <v>646</v>
      </c>
      <c r="I21" s="52" t="s">
        <v>669</v>
      </c>
      <c r="J21" s="50"/>
      <c r="K21" s="50"/>
      <c r="L21" s="50"/>
    </row>
    <row r="22" spans="1:12" ht="22.95" customHeight="1">
      <c r="A22" s="52" t="s">
        <v>670</v>
      </c>
      <c r="B22" s="52">
        <v>4</v>
      </c>
      <c r="C22" s="52" t="s">
        <v>671</v>
      </c>
      <c r="D22" s="55" t="s">
        <v>672</v>
      </c>
      <c r="E22" s="47"/>
      <c r="F22" s="52" t="s">
        <v>673</v>
      </c>
      <c r="G22" s="52">
        <v>6</v>
      </c>
      <c r="H22" s="52" t="s">
        <v>646</v>
      </c>
      <c r="I22" s="52" t="s">
        <v>674</v>
      </c>
      <c r="J22" s="50"/>
      <c r="K22" s="50"/>
      <c r="L22" s="50"/>
    </row>
    <row r="23" spans="1:12" ht="22.95" customHeight="1">
      <c r="A23" s="52" t="s">
        <v>675</v>
      </c>
      <c r="B23" s="52">
        <v>5</v>
      </c>
      <c r="C23" s="52" t="s">
        <v>676</v>
      </c>
      <c r="D23" s="55" t="s">
        <v>677</v>
      </c>
      <c r="E23" s="47"/>
      <c r="F23" s="52" t="s">
        <v>678</v>
      </c>
      <c r="G23" s="52">
        <v>7</v>
      </c>
      <c r="H23" s="52" t="s">
        <v>646</v>
      </c>
      <c r="I23" s="52" t="s">
        <v>679</v>
      </c>
      <c r="J23" s="50"/>
      <c r="K23" s="50"/>
      <c r="L23" s="50"/>
    </row>
    <row r="24" spans="1:12" ht="22.95" customHeight="1">
      <c r="A24" s="50"/>
      <c r="B24" s="50"/>
      <c r="C24" s="50"/>
      <c r="D24" s="47"/>
      <c r="E24" s="47"/>
      <c r="F24" s="52" t="s">
        <v>680</v>
      </c>
      <c r="G24" s="52">
        <v>8</v>
      </c>
      <c r="H24" s="52" t="s">
        <v>646</v>
      </c>
      <c r="I24" s="52" t="s">
        <v>681</v>
      </c>
      <c r="J24" s="50"/>
      <c r="K24" s="50"/>
      <c r="L24" s="50"/>
    </row>
    <row r="25" spans="1:12" ht="22.95" customHeight="1">
      <c r="A25" s="50"/>
      <c r="B25" s="50"/>
      <c r="C25" s="50"/>
      <c r="D25" s="50"/>
      <c r="E25" s="50"/>
      <c r="F25" s="52" t="s">
        <v>682</v>
      </c>
      <c r="G25" s="52">
        <v>9</v>
      </c>
      <c r="H25" s="52" t="s">
        <v>646</v>
      </c>
      <c r="I25" s="52" t="s">
        <v>683</v>
      </c>
      <c r="J25" s="50"/>
      <c r="K25" s="50"/>
      <c r="L25" s="50"/>
    </row>
    <row r="26" spans="1:12" ht="34.049999999999997" customHeight="1">
      <c r="A26" s="110" t="s">
        <v>684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</row>
    <row r="27" spans="1:12" ht="34.049999999999997" customHeight="1">
      <c r="A27" s="110" t="s">
        <v>685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</row>
    <row r="29" spans="1:12" ht="24" customHeight="1">
      <c r="A29" s="107"/>
      <c r="B29" s="107"/>
      <c r="C29" s="107"/>
      <c r="D29" s="107"/>
      <c r="E29" s="107"/>
      <c r="F29" s="107"/>
      <c r="H29" s="107"/>
      <c r="I29" s="107"/>
      <c r="J29" s="107"/>
      <c r="K29" s="107"/>
      <c r="L29" s="107"/>
    </row>
    <row r="30" spans="1:12" ht="24" customHeight="1"/>
    <row r="31" spans="1:12" ht="24" customHeight="1"/>
    <row r="32" spans="1:12" ht="24" customHeight="1"/>
    <row r="33" spans="1:12" ht="24" customHeight="1"/>
    <row r="34" spans="1:12" ht="24" customHeight="1"/>
    <row r="35" spans="1:12" ht="24" customHeight="1"/>
    <row r="36" spans="1:12" ht="24" customHeight="1"/>
    <row r="37" spans="1:12" ht="24" customHeight="1"/>
    <row r="38" spans="1:12" ht="24" customHeight="1"/>
    <row r="39" spans="1:12" ht="24" customHeight="1"/>
    <row r="40" spans="1:12" ht="24" customHeight="1"/>
    <row r="41" spans="1:12" ht="24" customHeight="1"/>
    <row r="42" spans="1:12" ht="24" customHeight="1"/>
    <row r="43" spans="1:12" ht="24" customHeight="1"/>
    <row r="44" spans="1:12" ht="24" customHeight="1"/>
    <row r="45" spans="1:12" ht="31.9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</row>
    <row r="46" spans="1:12" ht="31.9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</row>
  </sheetData>
  <mergeCells count="8">
    <mergeCell ref="A45:L45"/>
    <mergeCell ref="A46:L46"/>
    <mergeCell ref="A1:L1"/>
    <mergeCell ref="G10:L10"/>
    <mergeCell ref="A26:L26"/>
    <mergeCell ref="A27:L27"/>
    <mergeCell ref="A29:F29"/>
    <mergeCell ref="H29:L29"/>
  </mergeCells>
  <phoneticPr fontId="4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53"/>
  <sheetViews>
    <sheetView showGridLines="0" workbookViewId="0"/>
  </sheetViews>
  <sheetFormatPr defaultRowHeight="13.8"/>
  <cols>
    <col min="1" max="1" width="17" customWidth="1"/>
    <col min="2" max="3" width="16" customWidth="1"/>
    <col min="4" max="4" width="20" customWidth="1"/>
    <col min="5" max="5" width="14" customWidth="1"/>
    <col min="6" max="7" width="18" customWidth="1"/>
    <col min="8" max="8" width="24" customWidth="1"/>
    <col min="9" max="9" width="32" customWidth="1"/>
    <col min="10" max="13" width="24" customWidth="1"/>
    <col min="14" max="14" width="28" customWidth="1"/>
    <col min="15" max="16" width="14" customWidth="1"/>
    <col min="17" max="17" width="16" customWidth="1"/>
    <col min="18" max="18" width="28" customWidth="1"/>
    <col min="19" max="19" width="18" customWidth="1"/>
    <col min="20" max="21" width="12" customWidth="1"/>
    <col min="22" max="22" width="17" customWidth="1"/>
    <col min="23" max="23" width="18" customWidth="1"/>
    <col min="24" max="24" width="36" customWidth="1"/>
    <col min="25" max="25" width="16" customWidth="1"/>
    <col min="26" max="26" width="12" customWidth="1"/>
    <col min="27" max="27" width="14" customWidth="1"/>
    <col min="28" max="28" width="30" customWidth="1"/>
    <col min="29" max="29" width="18" customWidth="1"/>
    <col min="30" max="30" width="24" customWidth="1"/>
    <col min="31" max="31" width="18" customWidth="1"/>
  </cols>
  <sheetData>
    <row r="1" spans="1:28" ht="30" customHeight="1">
      <c r="A1" s="105" t="s">
        <v>686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8" ht="25.05" customHeight="1">
      <c r="A2" s="106" t="s">
        <v>687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</row>
    <row r="3" spans="1:28" ht="34.049999999999997" customHeight="1">
      <c r="A3" s="4" t="s">
        <v>688</v>
      </c>
      <c r="B3" s="4" t="s">
        <v>576</v>
      </c>
      <c r="C3" s="4" t="s">
        <v>577</v>
      </c>
      <c r="D3" s="4" t="s">
        <v>579</v>
      </c>
      <c r="E3" s="4" t="s">
        <v>689</v>
      </c>
      <c r="F3" s="4" t="s">
        <v>690</v>
      </c>
      <c r="G3" s="4" t="s">
        <v>691</v>
      </c>
      <c r="H3" s="4" t="s">
        <v>692</v>
      </c>
      <c r="I3" s="4" t="s">
        <v>693</v>
      </c>
      <c r="J3" s="4" t="s">
        <v>694</v>
      </c>
      <c r="K3" s="4" t="s">
        <v>695</v>
      </c>
      <c r="L3" s="4" t="s">
        <v>696</v>
      </c>
      <c r="M3" s="4" t="s">
        <v>697</v>
      </c>
      <c r="N3" s="4" t="s">
        <v>584</v>
      </c>
      <c r="O3" s="4" t="s">
        <v>614</v>
      </c>
      <c r="P3" s="4" t="s">
        <v>618</v>
      </c>
      <c r="Q3" s="4" t="s">
        <v>599</v>
      </c>
      <c r="R3" s="4" t="s">
        <v>698</v>
      </c>
      <c r="S3" s="4" t="s">
        <v>699</v>
      </c>
      <c r="T3" s="4" t="s">
        <v>581</v>
      </c>
      <c r="U3" s="4" t="s">
        <v>582</v>
      </c>
      <c r="V3" s="4" t="s">
        <v>117</v>
      </c>
      <c r="W3" s="4" t="s">
        <v>188</v>
      </c>
      <c r="X3" s="4" t="s">
        <v>595</v>
      </c>
      <c r="Y3" s="4" t="s">
        <v>192</v>
      </c>
      <c r="Z3" s="4" t="s">
        <v>193</v>
      </c>
      <c r="AA3" s="4" t="s">
        <v>129</v>
      </c>
      <c r="AB3" s="4" t="s">
        <v>194</v>
      </c>
    </row>
    <row r="4" spans="1:28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</row>
    <row r="6" spans="1:28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  <row r="35" spans="1:28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/>
    </row>
    <row r="36" spans="1:28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</row>
    <row r="37" spans="1:28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/>
    </row>
    <row r="38" spans="1:28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/>
    </row>
    <row r="39" spans="1:28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1:28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/>
    </row>
    <row r="41" spans="1:28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/>
    </row>
    <row r="42" spans="1:28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</row>
    <row r="43" spans="1:28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/>
    </row>
    <row r="44" spans="1:28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</row>
    <row r="45" spans="1:28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/>
    </row>
    <row r="46" spans="1:28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/>
    </row>
    <row r="49" spans="1:28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</row>
    <row r="50" spans="1:28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/>
    </row>
    <row r="51" spans="1:28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/>
    </row>
    <row r="52" spans="1:28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</row>
    <row r="53" spans="1:28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</row>
    <row r="54" spans="1:28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</row>
    <row r="55" spans="1:28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</row>
    <row r="56" spans="1:28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/>
    </row>
    <row r="57" spans="1:28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/>
    </row>
    <row r="58" spans="1:2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/>
    </row>
    <row r="59" spans="1:28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  <row r="61" spans="1:28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  <row r="63" spans="1:28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/>
    </row>
    <row r="64" spans="1:28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/>
    </row>
    <row r="65" spans="1:28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/>
    </row>
    <row r="66" spans="1:28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/>
    </row>
    <row r="67" spans="1:28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/>
    </row>
    <row r="69" spans="1:28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1"/>
    </row>
    <row r="70" spans="1:28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1"/>
    </row>
    <row r="71" spans="1:28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1"/>
    </row>
    <row r="72" spans="1:28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</row>
    <row r="73" spans="1:28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1"/>
    </row>
    <row r="74" spans="1:28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1"/>
    </row>
    <row r="75" spans="1:28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1"/>
    </row>
    <row r="76" spans="1:28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1"/>
    </row>
    <row r="77" spans="1:28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1"/>
    </row>
    <row r="78" spans="1:28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/>
    </row>
    <row r="79" spans="1:28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1"/>
    </row>
    <row r="80" spans="1:28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1"/>
    </row>
    <row r="81" spans="1:28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1"/>
    </row>
    <row r="82" spans="1:28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1"/>
    </row>
    <row r="83" spans="1:28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1"/>
    </row>
    <row r="84" spans="1:28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1"/>
    </row>
    <row r="85" spans="1:28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</row>
    <row r="86" spans="1:28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  <row r="87" spans="1:28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</row>
    <row r="88" spans="1:28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</row>
    <row r="89" spans="1:28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/>
    </row>
    <row r="91" spans="1:28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1"/>
    </row>
    <row r="92" spans="1:28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1"/>
    </row>
    <row r="93" spans="1:28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1"/>
    </row>
    <row r="94" spans="1:28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1"/>
    </row>
    <row r="95" spans="1:28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1"/>
    </row>
    <row r="96" spans="1:28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</row>
    <row r="97" spans="1:28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</row>
    <row r="98" spans="1:28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</row>
    <row r="99" spans="1:28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1"/>
    </row>
    <row r="100" spans="1:28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1"/>
    </row>
    <row r="101" spans="1:28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1"/>
    </row>
    <row r="102" spans="1:28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1"/>
    </row>
    <row r="103" spans="1:28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1"/>
    </row>
    <row r="104" spans="1:28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1"/>
    </row>
    <row r="105" spans="1:28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1"/>
    </row>
    <row r="106" spans="1:28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1"/>
    </row>
    <row r="107" spans="1:28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1"/>
    </row>
    <row r="108" spans="1:2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1"/>
    </row>
    <row r="109" spans="1:28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1"/>
    </row>
    <row r="110" spans="1:28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1"/>
    </row>
    <row r="111" spans="1:28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  <row r="112" spans="1:28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1"/>
    </row>
    <row r="113" spans="1:28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1"/>
    </row>
    <row r="114" spans="1:28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1"/>
    </row>
    <row r="115" spans="1:28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1"/>
    </row>
    <row r="116" spans="1:28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1"/>
    </row>
    <row r="117" spans="1:28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  <row r="118" spans="1:2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/>
    </row>
    <row r="119" spans="1:28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1"/>
    </row>
    <row r="120" spans="1:28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1"/>
    </row>
    <row r="121" spans="1:28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1"/>
    </row>
    <row r="122" spans="1:28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1"/>
    </row>
    <row r="123" spans="1:28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1"/>
    </row>
    <row r="124" spans="1:28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/>
    </row>
    <row r="125" spans="1:28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1"/>
    </row>
    <row r="126" spans="1:28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1"/>
    </row>
    <row r="127" spans="1:28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1"/>
    </row>
    <row r="128" spans="1: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1"/>
    </row>
    <row r="129" spans="1:28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1"/>
    </row>
    <row r="130" spans="1:28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1"/>
    </row>
    <row r="131" spans="1:28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1"/>
    </row>
    <row r="132" spans="1:28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1"/>
    </row>
    <row r="133" spans="1:28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1"/>
    </row>
    <row r="134" spans="1:28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1"/>
    </row>
    <row r="135" spans="1:28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1"/>
    </row>
    <row r="136" spans="1:28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1"/>
    </row>
    <row r="137" spans="1:28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1"/>
    </row>
    <row r="138" spans="1:2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1"/>
    </row>
    <row r="139" spans="1:28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1"/>
    </row>
    <row r="140" spans="1:28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1"/>
    </row>
    <row r="141" spans="1:28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1"/>
    </row>
    <row r="142" spans="1:28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1"/>
    </row>
    <row r="143" spans="1:28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1"/>
    </row>
    <row r="144" spans="1:28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1"/>
    </row>
    <row r="145" spans="1:28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1"/>
    </row>
    <row r="146" spans="1:28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/>
    </row>
    <row r="147" spans="1:28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1"/>
    </row>
    <row r="148" spans="1:2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1"/>
    </row>
    <row r="149" spans="1:28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1"/>
    </row>
    <row r="150" spans="1:28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1"/>
    </row>
    <row r="151" spans="1:28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1"/>
    </row>
    <row r="152" spans="1:28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1"/>
    </row>
    <row r="153" spans="1:28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</row>
  </sheetData>
  <mergeCells count="2">
    <mergeCell ref="A1:AB1"/>
    <mergeCell ref="A2:AB2"/>
  </mergeCells>
  <phoneticPr fontId="49" type="noConversion"/>
  <conditionalFormatting sqref="AA4:AA153">
    <cfRule type="containsText" dxfId="17" priority="1" operator="containsText" text="通过"/>
    <cfRule type="containsText" dxfId="16" priority="2" operator="containsText" text="争议"/>
    <cfRule type="containsText" dxfId="15" priority="3" operator="containsText" text="驳回"/>
  </conditionalFormatting>
  <dataValidations count="5">
    <dataValidation type="list" sqref="E4:E153" xr:uid="{00000000-0002-0000-0600-000000000000}">
      <formula1>"是,否,待确认"</formula1>
    </dataValidation>
    <dataValidation type="list" sqref="G4:G153" xr:uid="{00000000-0002-0000-0600-000001000000}">
      <formula1>"住宅,商业,宗教,官署,军事,交通,园林,教育,仓储,混合,待定"</formula1>
    </dataValidation>
    <dataValidation type="list" sqref="S4:S153" xr:uid="{00000000-0002-0000-0600-000002000000}">
      <formula1>"精确,较精确,概略,待定位"</formula1>
    </dataValidation>
    <dataValidation type="list" sqref="Y4:Y153" xr:uid="{00000000-0002-0000-0600-000003000000}">
      <formula1>"史料直述,考古测量,地图测量,现代研究,计算结果,推导结论"</formula1>
    </dataValidation>
    <dataValidation type="list" sqref="AA4:AA153" xr:uid="{00000000-0002-0000-0600-000004000000}">
      <formula1>"草稿,待审核,通过,驳回,争议"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3"/>
  <sheetViews>
    <sheetView showGridLines="0" workbookViewId="0"/>
  </sheetViews>
  <sheetFormatPr defaultRowHeight="13.8"/>
  <cols>
    <col min="1" max="1" width="20" customWidth="1"/>
    <col min="2" max="2" width="16" customWidth="1"/>
    <col min="3" max="3" width="14" customWidth="1"/>
    <col min="4" max="4" width="22" customWidth="1"/>
    <col min="5" max="5" width="16" customWidth="1"/>
    <col min="6" max="6" width="14" customWidth="1"/>
    <col min="7" max="8" width="18" customWidth="1"/>
    <col min="9" max="11" width="12" customWidth="1"/>
    <col min="12" max="12" width="16" customWidth="1"/>
    <col min="13" max="13" width="18" customWidth="1"/>
    <col min="14" max="14" width="28" customWidth="1"/>
    <col min="15" max="15" width="16" customWidth="1"/>
    <col min="16" max="16" width="12" customWidth="1"/>
    <col min="17" max="17" width="14" customWidth="1"/>
    <col min="18" max="18" width="34" customWidth="1"/>
  </cols>
  <sheetData>
    <row r="1" spans="1:18" ht="28.05" customHeight="1">
      <c r="A1" s="111" t="s">
        <v>700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ht="30" customHeight="1">
      <c r="A2" s="112" t="s">
        <v>701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ht="34.049999999999997" customHeight="1">
      <c r="A3" s="19" t="s">
        <v>702</v>
      </c>
      <c r="B3" s="20" t="s">
        <v>703</v>
      </c>
      <c r="C3" s="20" t="s">
        <v>704</v>
      </c>
      <c r="D3" s="20" t="s">
        <v>705</v>
      </c>
      <c r="E3" s="20" t="s">
        <v>706</v>
      </c>
      <c r="F3" s="20" t="s">
        <v>707</v>
      </c>
      <c r="G3" s="20" t="s">
        <v>708</v>
      </c>
      <c r="H3" s="20" t="s">
        <v>709</v>
      </c>
      <c r="I3" s="20" t="s">
        <v>710</v>
      </c>
      <c r="J3" s="20" t="s">
        <v>581</v>
      </c>
      <c r="K3" s="20" t="s">
        <v>582</v>
      </c>
      <c r="L3" s="20" t="s">
        <v>117</v>
      </c>
      <c r="M3" s="20" t="s">
        <v>188</v>
      </c>
      <c r="N3" s="20" t="s">
        <v>595</v>
      </c>
      <c r="O3" s="20" t="s">
        <v>192</v>
      </c>
      <c r="P3" s="20" t="s">
        <v>193</v>
      </c>
      <c r="Q3" s="20" t="s">
        <v>129</v>
      </c>
      <c r="R3" s="21" t="s">
        <v>194</v>
      </c>
    </row>
    <row r="4" spans="1:18" ht="1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6"/>
      <c r="Q4" s="23"/>
      <c r="R4" s="24"/>
    </row>
    <row r="5" spans="1:18" ht="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7"/>
      <c r="Q5" s="25"/>
      <c r="R5" s="25"/>
    </row>
    <row r="6" spans="1:18" ht="1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7"/>
      <c r="Q6" s="25"/>
      <c r="R6" s="25"/>
    </row>
    <row r="7" spans="1:18" ht="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7"/>
      <c r="Q7" s="25"/>
      <c r="R7" s="25"/>
    </row>
    <row r="8" spans="1:18" ht="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7"/>
      <c r="Q8" s="25"/>
      <c r="R8" s="25"/>
    </row>
    <row r="9" spans="1:18" ht="1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7"/>
      <c r="Q9" s="25"/>
      <c r="R9" s="25"/>
    </row>
    <row r="10" spans="1:18" ht="1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7"/>
      <c r="Q10" s="25"/>
      <c r="R10" s="25"/>
    </row>
    <row r="11" spans="1:18" ht="1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7"/>
      <c r="Q11" s="25"/>
      <c r="R11" s="25"/>
    </row>
    <row r="12" spans="1:18" ht="1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7"/>
      <c r="Q12" s="25"/>
      <c r="R12" s="25"/>
    </row>
    <row r="13" spans="1:18" ht="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/>
      <c r="Q13" s="25"/>
      <c r="R13" s="25"/>
    </row>
    <row r="14" spans="1:18" ht="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  <c r="Q14" s="25"/>
      <c r="R14" s="25"/>
    </row>
    <row r="15" spans="1:18" ht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7"/>
      <c r="Q15" s="25"/>
      <c r="R15" s="25"/>
    </row>
    <row r="16" spans="1:18" ht="1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7"/>
      <c r="Q16" s="25"/>
      <c r="R16" s="25"/>
    </row>
    <row r="17" spans="1:18" ht="1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7"/>
      <c r="Q17" s="25"/>
      <c r="R17" s="25"/>
    </row>
    <row r="18" spans="1:18" ht="1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7"/>
      <c r="Q18" s="25"/>
      <c r="R18" s="25"/>
    </row>
    <row r="19" spans="1:18" ht="1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25"/>
      <c r="R19" s="25"/>
    </row>
    <row r="20" spans="1:18" ht="1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7"/>
      <c r="Q20" s="25"/>
      <c r="R20" s="25"/>
    </row>
    <row r="21" spans="1:18" ht="1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7"/>
      <c r="Q21" s="25"/>
      <c r="R21" s="25"/>
    </row>
    <row r="22" spans="1:18" ht="1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7"/>
      <c r="Q22" s="25"/>
      <c r="R22" s="25"/>
    </row>
    <row r="23" spans="1:18" ht="1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7"/>
      <c r="Q23" s="25"/>
      <c r="R23" s="25"/>
    </row>
    <row r="24" spans="1:18" ht="1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7"/>
      <c r="Q24" s="25"/>
      <c r="R24" s="25"/>
    </row>
    <row r="25" spans="1:18" ht="1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7"/>
      <c r="Q25" s="25"/>
      <c r="R25" s="25"/>
    </row>
    <row r="26" spans="1:18" ht="1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/>
      <c r="Q26" s="25"/>
      <c r="R26" s="25"/>
    </row>
    <row r="27" spans="1:18" ht="1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25"/>
      <c r="R27" s="25"/>
    </row>
    <row r="28" spans="1:18" ht="1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/>
      <c r="Q28" s="25"/>
      <c r="R28" s="25"/>
    </row>
    <row r="29" spans="1:18" ht="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7"/>
      <c r="Q29" s="25"/>
      <c r="R29" s="25"/>
    </row>
    <row r="30" spans="1:18" ht="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7"/>
      <c r="Q30" s="25"/>
      <c r="R30" s="25"/>
    </row>
    <row r="31" spans="1:18" ht="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7"/>
      <c r="Q31" s="25"/>
      <c r="R31" s="25"/>
    </row>
    <row r="32" spans="1:18" ht="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7"/>
      <c r="Q32" s="25"/>
      <c r="R32" s="25"/>
    </row>
    <row r="33" spans="1:18" ht="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7"/>
      <c r="Q33" s="25"/>
      <c r="R33" s="25"/>
    </row>
    <row r="34" spans="1:18" ht="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7"/>
      <c r="Q34" s="25"/>
      <c r="R34" s="25"/>
    </row>
    <row r="35" spans="1:18" ht="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25"/>
      <c r="R35" s="25"/>
    </row>
    <row r="36" spans="1:18" ht="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7"/>
      <c r="Q36" s="25"/>
      <c r="R36" s="25"/>
    </row>
    <row r="37" spans="1:18" ht="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7"/>
      <c r="Q37" s="25"/>
      <c r="R37" s="25"/>
    </row>
    <row r="38" spans="1:18" ht="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7"/>
      <c r="Q38" s="25"/>
      <c r="R38" s="25"/>
    </row>
    <row r="39" spans="1:18" ht="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25"/>
      <c r="R39" s="25"/>
    </row>
    <row r="40" spans="1:18" ht="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25"/>
      <c r="R40" s="25"/>
    </row>
    <row r="41" spans="1:18" ht="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7"/>
      <c r="Q41" s="25"/>
      <c r="R41" s="25"/>
    </row>
    <row r="42" spans="1:18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7"/>
      <c r="Q42" s="25"/>
      <c r="R42" s="25"/>
    </row>
    <row r="43" spans="1:18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7"/>
      <c r="Q43" s="25"/>
      <c r="R43" s="25"/>
    </row>
    <row r="44" spans="1:18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7"/>
      <c r="Q44" s="25"/>
      <c r="R44" s="25"/>
    </row>
    <row r="45" spans="1:18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7"/>
      <c r="Q45" s="25"/>
      <c r="R45" s="25"/>
    </row>
    <row r="46" spans="1:18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7"/>
      <c r="Q46" s="25"/>
      <c r="R46" s="25"/>
    </row>
    <row r="47" spans="1:18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7"/>
      <c r="Q47" s="25"/>
      <c r="R47" s="25"/>
    </row>
    <row r="48" spans="1:18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7"/>
      <c r="Q48" s="25"/>
      <c r="R48" s="25"/>
    </row>
    <row r="49" spans="1:18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7"/>
      <c r="Q49" s="25"/>
      <c r="R49" s="25"/>
    </row>
    <row r="50" spans="1:18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7"/>
      <c r="Q50" s="25"/>
      <c r="R50" s="25"/>
    </row>
    <row r="51" spans="1:18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7"/>
      <c r="Q51" s="25"/>
      <c r="R51" s="25"/>
    </row>
    <row r="52" spans="1:18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7"/>
      <c r="Q52" s="25"/>
      <c r="R52" s="25"/>
    </row>
    <row r="53" spans="1:18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7"/>
      <c r="Q53" s="25"/>
      <c r="R53" s="25"/>
    </row>
    <row r="54" spans="1:18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7"/>
      <c r="Q54" s="25"/>
      <c r="R54" s="25"/>
    </row>
    <row r="55" spans="1:18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7"/>
      <c r="Q55" s="25"/>
      <c r="R55" s="25"/>
    </row>
    <row r="56" spans="1:18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7"/>
      <c r="Q56" s="25"/>
      <c r="R56" s="25"/>
    </row>
    <row r="57" spans="1:18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7"/>
      <c r="Q57" s="25"/>
      <c r="R57" s="25"/>
    </row>
    <row r="58" spans="1:18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7"/>
      <c r="Q58" s="25"/>
      <c r="R58" s="25"/>
    </row>
    <row r="59" spans="1:18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7"/>
      <c r="Q59" s="25"/>
      <c r="R59" s="25"/>
    </row>
    <row r="60" spans="1:18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7"/>
      <c r="Q60" s="25"/>
      <c r="R60" s="25"/>
    </row>
    <row r="61" spans="1:18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7"/>
      <c r="Q61" s="25"/>
      <c r="R61" s="25"/>
    </row>
    <row r="62" spans="1:18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7"/>
      <c r="Q62" s="25"/>
      <c r="R62" s="25"/>
    </row>
    <row r="63" spans="1:18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7"/>
      <c r="Q63" s="25"/>
      <c r="R63" s="25"/>
    </row>
    <row r="64" spans="1:18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7"/>
      <c r="Q64" s="25"/>
      <c r="R64" s="25"/>
    </row>
    <row r="65" spans="1:18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7"/>
      <c r="Q65" s="25"/>
      <c r="R65" s="25"/>
    </row>
    <row r="66" spans="1:18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7"/>
      <c r="Q66" s="25"/>
      <c r="R66" s="25"/>
    </row>
    <row r="67" spans="1:18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7"/>
      <c r="Q67" s="25"/>
      <c r="R67" s="25"/>
    </row>
    <row r="68" spans="1:18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7"/>
      <c r="Q68" s="25"/>
      <c r="R68" s="25"/>
    </row>
    <row r="69" spans="1:18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7"/>
      <c r="Q69" s="25"/>
      <c r="R69" s="25"/>
    </row>
    <row r="70" spans="1:18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7"/>
      <c r="Q70" s="25"/>
      <c r="R70" s="25"/>
    </row>
    <row r="71" spans="1:18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7"/>
      <c r="Q71" s="25"/>
      <c r="R71" s="25"/>
    </row>
    <row r="72" spans="1:18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7"/>
      <c r="Q72" s="25"/>
      <c r="R72" s="25"/>
    </row>
    <row r="73" spans="1:18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7"/>
      <c r="Q73" s="25"/>
      <c r="R73" s="25"/>
    </row>
    <row r="74" spans="1:18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7"/>
      <c r="Q74" s="25"/>
      <c r="R74" s="25"/>
    </row>
    <row r="75" spans="1:18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7"/>
      <c r="Q75" s="25"/>
      <c r="R75" s="25"/>
    </row>
    <row r="76" spans="1:18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7"/>
      <c r="Q76" s="25"/>
      <c r="R76" s="25"/>
    </row>
    <row r="77" spans="1:18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7"/>
      <c r="Q77" s="25"/>
      <c r="R77" s="25"/>
    </row>
    <row r="78" spans="1:18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7"/>
      <c r="Q78" s="25"/>
      <c r="R78" s="25"/>
    </row>
    <row r="79" spans="1:18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7"/>
      <c r="Q79" s="25"/>
      <c r="R79" s="25"/>
    </row>
    <row r="80" spans="1:18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7"/>
      <c r="Q80" s="25"/>
      <c r="R80" s="25"/>
    </row>
    <row r="81" spans="1:18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7"/>
      <c r="Q81" s="25"/>
      <c r="R81" s="25"/>
    </row>
    <row r="82" spans="1:18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7"/>
      <c r="Q82" s="25"/>
      <c r="R82" s="25"/>
    </row>
    <row r="83" spans="1:18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7"/>
      <c r="Q83" s="25"/>
      <c r="R83" s="25"/>
    </row>
    <row r="84" spans="1:18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7"/>
      <c r="Q84" s="25"/>
      <c r="R84" s="25"/>
    </row>
    <row r="85" spans="1:18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7"/>
      <c r="Q85" s="25"/>
      <c r="R85" s="25"/>
    </row>
    <row r="86" spans="1:18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7"/>
      <c r="Q86" s="25"/>
      <c r="R86" s="25"/>
    </row>
    <row r="87" spans="1:18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7"/>
      <c r="Q87" s="25"/>
      <c r="R87" s="25"/>
    </row>
    <row r="88" spans="1:18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7"/>
      <c r="Q88" s="25"/>
      <c r="R88" s="25"/>
    </row>
    <row r="89" spans="1:18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7"/>
      <c r="Q89" s="25"/>
      <c r="R89" s="25"/>
    </row>
    <row r="90" spans="1:18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7"/>
      <c r="Q90" s="25"/>
      <c r="R90" s="25"/>
    </row>
    <row r="91" spans="1:18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7"/>
      <c r="Q91" s="25"/>
      <c r="R91" s="25"/>
    </row>
    <row r="92" spans="1:18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7"/>
      <c r="Q92" s="25"/>
      <c r="R92" s="25"/>
    </row>
    <row r="93" spans="1:18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7"/>
      <c r="Q93" s="25"/>
      <c r="R93" s="25"/>
    </row>
    <row r="94" spans="1:18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7"/>
      <c r="Q94" s="25"/>
      <c r="R94" s="25"/>
    </row>
    <row r="95" spans="1:18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7"/>
      <c r="Q95" s="25"/>
      <c r="R95" s="25"/>
    </row>
    <row r="96" spans="1:18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7"/>
      <c r="Q96" s="25"/>
      <c r="R96" s="25"/>
    </row>
    <row r="97" spans="1:18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7"/>
      <c r="Q97" s="25"/>
      <c r="R97" s="25"/>
    </row>
    <row r="98" spans="1:18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7"/>
      <c r="Q98" s="25"/>
      <c r="R98" s="25"/>
    </row>
    <row r="99" spans="1:18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7"/>
      <c r="Q99" s="25"/>
      <c r="R99" s="25"/>
    </row>
    <row r="100" spans="1:18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7"/>
      <c r="Q100" s="25"/>
      <c r="R100" s="25"/>
    </row>
    <row r="101" spans="1:18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7"/>
      <c r="Q101" s="25"/>
      <c r="R101" s="25"/>
    </row>
    <row r="102" spans="1:18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7"/>
      <c r="Q102" s="25"/>
      <c r="R102" s="25"/>
    </row>
    <row r="103" spans="1:18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7"/>
      <c r="Q103" s="25"/>
      <c r="R103" s="25"/>
    </row>
    <row r="104" spans="1:18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7"/>
      <c r="Q104" s="25"/>
      <c r="R104" s="25"/>
    </row>
    <row r="105" spans="1:18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7"/>
      <c r="Q105" s="25"/>
      <c r="R105" s="25"/>
    </row>
    <row r="106" spans="1:18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7"/>
      <c r="Q106" s="25"/>
      <c r="R106" s="25"/>
    </row>
    <row r="107" spans="1:18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7"/>
      <c r="Q107" s="25"/>
      <c r="R107" s="25"/>
    </row>
    <row r="108" spans="1:18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7"/>
      <c r="Q108" s="25"/>
      <c r="R108" s="25"/>
    </row>
    <row r="109" spans="1:18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7"/>
      <c r="Q109" s="25"/>
      <c r="R109" s="25"/>
    </row>
    <row r="110" spans="1:18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7"/>
      <c r="Q110" s="25"/>
      <c r="R110" s="25"/>
    </row>
    <row r="111" spans="1:18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7"/>
      <c r="Q111" s="25"/>
      <c r="R111" s="25"/>
    </row>
    <row r="112" spans="1:18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7"/>
      <c r="Q112" s="25"/>
      <c r="R112" s="25"/>
    </row>
    <row r="113" spans="1:18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7"/>
      <c r="Q113" s="25"/>
      <c r="R113" s="25"/>
    </row>
    <row r="114" spans="1:18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7"/>
      <c r="Q114" s="25"/>
      <c r="R114" s="25"/>
    </row>
    <row r="115" spans="1:18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7"/>
      <c r="Q115" s="25"/>
      <c r="R115" s="25"/>
    </row>
    <row r="116" spans="1:18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7"/>
      <c r="Q116" s="25"/>
      <c r="R116" s="25"/>
    </row>
    <row r="117" spans="1:18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7"/>
      <c r="Q117" s="25"/>
      <c r="R117" s="25"/>
    </row>
    <row r="118" spans="1:18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7"/>
      <c r="Q118" s="25"/>
      <c r="R118" s="25"/>
    </row>
    <row r="119" spans="1:18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7"/>
      <c r="Q119" s="25"/>
      <c r="R119" s="25"/>
    </row>
    <row r="120" spans="1:18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7"/>
      <c r="Q120" s="25"/>
      <c r="R120" s="25"/>
    </row>
    <row r="121" spans="1:18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7"/>
      <c r="Q121" s="25"/>
      <c r="R121" s="25"/>
    </row>
    <row r="122" spans="1:18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7"/>
      <c r="Q122" s="25"/>
      <c r="R122" s="25"/>
    </row>
    <row r="123" spans="1:18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7"/>
      <c r="Q123" s="25"/>
      <c r="R123" s="25"/>
    </row>
    <row r="124" spans="1:18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7"/>
      <c r="Q124" s="25"/>
      <c r="R124" s="25"/>
    </row>
    <row r="125" spans="1:18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7"/>
      <c r="Q125" s="25"/>
      <c r="R125" s="25"/>
    </row>
    <row r="126" spans="1:18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7"/>
      <c r="Q126" s="25"/>
      <c r="R126" s="25"/>
    </row>
    <row r="127" spans="1:18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7"/>
      <c r="Q127" s="25"/>
      <c r="R127" s="25"/>
    </row>
    <row r="128" spans="1:18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7"/>
      <c r="Q128" s="25"/>
      <c r="R128" s="25"/>
    </row>
    <row r="129" spans="1:18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7"/>
      <c r="Q129" s="25"/>
      <c r="R129" s="25"/>
    </row>
    <row r="130" spans="1:18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7"/>
      <c r="Q130" s="25"/>
      <c r="R130" s="25"/>
    </row>
    <row r="131" spans="1:18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5"/>
      <c r="R131" s="25"/>
    </row>
    <row r="132" spans="1:18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5"/>
      <c r="R132" s="25"/>
    </row>
    <row r="133" spans="1:18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5"/>
      <c r="R133" s="25"/>
    </row>
    <row r="134" spans="1:18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5"/>
      <c r="R134" s="25"/>
    </row>
    <row r="135" spans="1:18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5"/>
      <c r="R135" s="25"/>
    </row>
    <row r="136" spans="1:18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5"/>
      <c r="R136" s="25"/>
    </row>
    <row r="137" spans="1:18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5"/>
      <c r="R137" s="25"/>
    </row>
    <row r="138" spans="1:18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5"/>
      <c r="R138" s="25"/>
    </row>
    <row r="139" spans="1:18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5"/>
      <c r="R139" s="25"/>
    </row>
    <row r="140" spans="1:18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5"/>
      <c r="R140" s="25"/>
    </row>
    <row r="141" spans="1:18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5"/>
      <c r="R141" s="25"/>
    </row>
    <row r="142" spans="1:18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5"/>
      <c r="R142" s="25"/>
    </row>
    <row r="143" spans="1:18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5"/>
      <c r="R143" s="25"/>
    </row>
    <row r="144" spans="1:18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5"/>
      <c r="R144" s="25"/>
    </row>
    <row r="145" spans="1:18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5"/>
      <c r="R145" s="25"/>
    </row>
    <row r="146" spans="1:18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5"/>
      <c r="R146" s="25"/>
    </row>
    <row r="147" spans="1:18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5"/>
      <c r="R147" s="25"/>
    </row>
    <row r="148" spans="1:18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5"/>
      <c r="R148" s="25"/>
    </row>
    <row r="149" spans="1:18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5"/>
      <c r="R149" s="25"/>
    </row>
    <row r="150" spans="1:18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5"/>
      <c r="R150" s="25"/>
    </row>
    <row r="151" spans="1:18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5"/>
      <c r="R151" s="25"/>
    </row>
    <row r="152" spans="1:18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5"/>
      <c r="R152" s="25"/>
    </row>
    <row r="153" spans="1:18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5"/>
      <c r="R153" s="25"/>
    </row>
  </sheetData>
  <mergeCells count="2">
    <mergeCell ref="A1:R1"/>
    <mergeCell ref="A2:R2"/>
  </mergeCells>
  <phoneticPr fontId="49" type="noConversion"/>
  <dataValidations count="4">
    <dataValidation type="list" sqref="D4:D153" xr:uid="{00000000-0002-0000-0700-000000000000}">
      <formula1>"ADJACENT_TO,NORTH_OF,SOUTH_OF,EAST_OF,WEST_OF,NORTHEAST_OF,NORTHWEST_OF,SOUTHEAST_OF,SOUTHWEST_OF,OPPOSITE_ACROSS_ROAD,OPPOSITE_ACROSS_CANAL"</formula1>
    </dataValidation>
    <dataValidation type="list" sqref="I4:I153" xr:uid="{00000000-0002-0000-0700-000001000000}">
      <formula1>"是,否"</formula1>
    </dataValidation>
    <dataValidation type="list" sqref="O4:O153" xr:uid="{00000000-0002-0000-0700-000002000000}">
      <formula1>"史料直述,考古测量,地图测量,现代研究,计算结果,推导结论"</formula1>
    </dataValidation>
    <dataValidation type="list" sqref="Q4:Q153" xr:uid="{00000000-0002-0000-0700-000003000000}">
      <formula1>"草稿,待审核,通过,驳回,争议"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3"/>
  <sheetViews>
    <sheetView showGridLines="0" workbookViewId="0"/>
  </sheetViews>
  <sheetFormatPr defaultRowHeight="13.8"/>
  <cols>
    <col min="1" max="1" width="16" customWidth="1"/>
    <col min="2" max="2" width="20" customWidth="1"/>
    <col min="3" max="3" width="18" customWidth="1"/>
    <col min="4" max="4" width="38" customWidth="1"/>
    <col min="5" max="5" width="28" customWidth="1"/>
    <col min="6" max="6" width="12" customWidth="1"/>
    <col min="7" max="7" width="14" customWidth="1"/>
    <col min="8" max="8" width="16" customWidth="1"/>
    <col min="9" max="9" width="18" customWidth="1"/>
    <col min="10" max="10" width="16" customWidth="1"/>
    <col min="11" max="11" width="12" customWidth="1"/>
    <col min="12" max="12" width="14" customWidth="1"/>
    <col min="13" max="13" width="34" customWidth="1"/>
  </cols>
  <sheetData>
    <row r="1" spans="1:13" ht="30" customHeight="1">
      <c r="A1" s="113" t="s">
        <v>711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13" ht="31.95" customHeight="1">
      <c r="A2" s="114" t="s">
        <v>712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ht="34.049999999999997" customHeight="1">
      <c r="A3" s="48" t="s">
        <v>713</v>
      </c>
      <c r="B3" s="48" t="s">
        <v>714</v>
      </c>
      <c r="C3" s="48" t="s">
        <v>715</v>
      </c>
      <c r="D3" s="48" t="s">
        <v>716</v>
      </c>
      <c r="E3" s="48" t="s">
        <v>717</v>
      </c>
      <c r="F3" s="48" t="s">
        <v>581</v>
      </c>
      <c r="G3" s="48" t="s">
        <v>582</v>
      </c>
      <c r="H3" s="48" t="s">
        <v>117</v>
      </c>
      <c r="I3" s="48" t="s">
        <v>585</v>
      </c>
      <c r="J3" s="48" t="s">
        <v>192</v>
      </c>
      <c r="K3" s="48" t="s">
        <v>193</v>
      </c>
      <c r="L3" s="48" t="s">
        <v>129</v>
      </c>
      <c r="M3" s="48" t="s">
        <v>194</v>
      </c>
    </row>
    <row r="4" spans="1:13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08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1:1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1:1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1:1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 spans="1:1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spans="1:1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1:1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  <row r="36" spans="1:1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</row>
    <row r="37" spans="1:1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1:1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1:1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</row>
    <row r="42" spans="1:1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</row>
    <row r="43" spans="1:1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</row>
    <row r="44" spans="1:1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</row>
    <row r="45" spans="1:1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pans="1:1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</row>
    <row r="52" spans="1:1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3" spans="1:1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</row>
    <row r="54" spans="1:1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</row>
    <row r="55" spans="1:1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</row>
    <row r="63" spans="1:1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</row>
    <row r="64" spans="1:1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</row>
    <row r="65" spans="1:1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</row>
    <row r="66" spans="1:1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</row>
    <row r="67" spans="1:1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</row>
    <row r="68" spans="1:1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</row>
    <row r="69" spans="1:1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</row>
    <row r="70" spans="1:1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</row>
    <row r="71" spans="1:1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</row>
    <row r="72" spans="1:1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</row>
    <row r="73" spans="1:1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</row>
    <row r="77" spans="1:1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</row>
    <row r="78" spans="1:1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</row>
    <row r="79" spans="1:1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</row>
    <row r="82" spans="1:1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</row>
    <row r="83" spans="1:1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</row>
    <row r="86" spans="1:1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</row>
    <row r="87" spans="1:1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</row>
    <row r="88" spans="1:1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</row>
    <row r="90" spans="1:1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</row>
    <row r="91" spans="1:1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</row>
    <row r="92" spans="1:1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</row>
    <row r="93" spans="1:1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</row>
    <row r="94" spans="1:1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</row>
    <row r="95" spans="1:1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</row>
    <row r="96" spans="1:1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</row>
    <row r="97" spans="1:1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</row>
    <row r="98" spans="1:1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</row>
    <row r="99" spans="1:1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1:1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</row>
    <row r="102" spans="1:1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</row>
    <row r="103" spans="1:1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</row>
  </sheetData>
  <mergeCells count="2">
    <mergeCell ref="A1:M1"/>
    <mergeCell ref="A2:M2"/>
  </mergeCells>
  <phoneticPr fontId="49" type="noConversion"/>
  <dataValidations count="4">
    <dataValidation type="list" sqref="C4:C103" xr:uid="{00000000-0002-0000-0800-000000000000}">
      <formula1>"十字街,街巷等级,宅地划分,坊门—街道拓扑,其他"</formula1>
    </dataValidation>
    <dataValidation type="list" sqref="J4:J103" xr:uid="{00000000-0002-0000-0800-000001000000}">
      <formula1>"史料直述,考古测量,地图测量,现代研究,推导结论"</formula1>
    </dataValidation>
    <dataValidation type="decimal" sqref="K4:K103" xr:uid="{00000000-0002-0000-0800-000002000000}">
      <formula1>0</formula1>
      <formula2>1</formula2>
    </dataValidation>
    <dataValidation type="list" sqref="L4:L103" xr:uid="{00000000-0002-0000-0800-000003000000}">
      <formula1>"待审核,已通过,有争议,不采用"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4" customWidth="1"/>
    <col min="6" max="6" width="18" customWidth="1"/>
    <col min="7" max="7" width="14" customWidth="1"/>
    <col min="8" max="9" width="19" customWidth="1"/>
    <col min="10" max="10" width="28" customWidth="1"/>
    <col min="11" max="11" width="30" customWidth="1"/>
    <col min="12" max="12" width="17" customWidth="1"/>
    <col min="13" max="13" width="16" customWidth="1"/>
    <col min="14" max="14" width="18" customWidth="1"/>
    <col min="15" max="15" width="30" customWidth="1"/>
    <col min="16" max="16" width="28" customWidth="1"/>
    <col min="17" max="18" width="12" customWidth="1"/>
    <col min="19" max="19" width="17" customWidth="1"/>
    <col min="20" max="20" width="18" customWidth="1"/>
    <col min="21" max="21" width="36" customWidth="1"/>
    <col min="22" max="22" width="16" customWidth="1"/>
    <col min="23" max="23" width="12" customWidth="1"/>
    <col min="24" max="24" width="14" customWidth="1"/>
    <col min="25" max="25" width="30" customWidth="1"/>
    <col min="26" max="27" width="24" customWidth="1"/>
    <col min="28" max="28" width="18" customWidth="1"/>
  </cols>
  <sheetData>
    <row r="1" spans="1:25" ht="30" customHeight="1">
      <c r="A1" s="105" t="s">
        <v>718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spans="1:25" ht="25.05" customHeight="1">
      <c r="A2" s="106" t="s">
        <v>719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 spans="1:25" ht="34.049999999999997" customHeight="1">
      <c r="A3" s="4" t="s">
        <v>720</v>
      </c>
      <c r="B3" s="4" t="s">
        <v>576</v>
      </c>
      <c r="C3" s="4" t="s">
        <v>577</v>
      </c>
      <c r="D3" s="4" t="s">
        <v>579</v>
      </c>
      <c r="E3" s="4" t="s">
        <v>721</v>
      </c>
      <c r="F3" s="4" t="s">
        <v>722</v>
      </c>
      <c r="G3" s="4" t="s">
        <v>723</v>
      </c>
      <c r="H3" s="4" t="s">
        <v>724</v>
      </c>
      <c r="I3" s="4" t="s">
        <v>725</v>
      </c>
      <c r="J3" s="4" t="s">
        <v>726</v>
      </c>
      <c r="K3" s="4" t="s">
        <v>727</v>
      </c>
      <c r="L3" s="4" t="s">
        <v>728</v>
      </c>
      <c r="M3" s="4" t="s">
        <v>729</v>
      </c>
      <c r="N3" s="4" t="s">
        <v>730</v>
      </c>
      <c r="O3" s="4" t="s">
        <v>731</v>
      </c>
      <c r="P3" s="4" t="s">
        <v>698</v>
      </c>
      <c r="Q3" s="4" t="s">
        <v>581</v>
      </c>
      <c r="R3" s="4" t="s">
        <v>582</v>
      </c>
      <c r="S3" s="4" t="s">
        <v>117</v>
      </c>
      <c r="T3" s="4" t="s">
        <v>188</v>
      </c>
      <c r="U3" s="4" t="s">
        <v>595</v>
      </c>
      <c r="V3" s="4" t="s">
        <v>192</v>
      </c>
      <c r="W3" s="4" t="s">
        <v>193</v>
      </c>
      <c r="X3" s="4" t="s">
        <v>129</v>
      </c>
      <c r="Y3" s="4" t="s">
        <v>194</v>
      </c>
    </row>
    <row r="4" spans="1:2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</row>
    <row r="6" spans="1: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</row>
    <row r="7" spans="1: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1: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</row>
    <row r="14" spans="1: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</row>
    <row r="15" spans="1: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1: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</row>
    <row r="17" spans="1: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</row>
    <row r="18" spans="1: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</row>
    <row r="19" spans="1: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1: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</row>
    <row r="21" spans="1: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</row>
    <row r="22" spans="1: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</row>
    <row r="23" spans="1: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</row>
    <row r="24" spans="1: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</row>
    <row r="25" spans="1: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1: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</row>
    <row r="27" spans="1: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</row>
    <row r="28" spans="1: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</row>
    <row r="29" spans="1: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</row>
    <row r="30" spans="1: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</row>
    <row r="31" spans="1: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</row>
    <row r="32" spans="1: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</row>
    <row r="33" spans="1: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</row>
    <row r="34" spans="1: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</row>
    <row r="35" spans="1: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</row>
    <row r="36" spans="1: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</row>
    <row r="37" spans="1: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</row>
    <row r="38" spans="1: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</row>
    <row r="39" spans="1: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</row>
    <row r="40" spans="1: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</row>
    <row r="41" spans="1: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1"/>
    </row>
    <row r="42" spans="1: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</row>
    <row r="43" spans="1: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</row>
    <row r="44" spans="1: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</row>
    <row r="45" spans="1: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</row>
    <row r="46" spans="1: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</row>
    <row r="47" spans="1: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</row>
    <row r="48" spans="1: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</row>
    <row r="49" spans="1: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</row>
    <row r="50" spans="1: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</row>
    <row r="51" spans="1: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</row>
    <row r="52" spans="1: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</row>
    <row r="53" spans="1: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1"/>
    </row>
    <row r="54" spans="1: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</row>
    <row r="55" spans="1: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</row>
    <row r="56" spans="1: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</row>
    <row r="57" spans="1: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</row>
    <row r="58" spans="1: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</row>
    <row r="59" spans="1: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1"/>
    </row>
    <row r="60" spans="1: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</row>
    <row r="61" spans="1: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1"/>
    </row>
    <row r="62" spans="1: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1"/>
    </row>
    <row r="63" spans="1: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1"/>
    </row>
    <row r="64" spans="1: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</row>
    <row r="65" spans="1: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1"/>
    </row>
    <row r="66" spans="1: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/>
    </row>
    <row r="67" spans="1: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1"/>
    </row>
    <row r="68" spans="1: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1"/>
    </row>
    <row r="69" spans="1: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1"/>
    </row>
    <row r="70" spans="1: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</row>
    <row r="71" spans="1:2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1"/>
    </row>
    <row r="72" spans="1:2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</row>
    <row r="73" spans="1: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</row>
    <row r="74" spans="1:2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</row>
    <row r="75" spans="1: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/>
    </row>
    <row r="76" spans="1: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</row>
    <row r="77" spans="1:2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/>
    </row>
    <row r="78" spans="1:2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1"/>
    </row>
    <row r="79" spans="1:2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1"/>
    </row>
    <row r="80" spans="1:2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</row>
    <row r="81" spans="1:2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</row>
    <row r="82" spans="1:2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</row>
    <row r="83" spans="1:2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</row>
    <row r="84" spans="1:2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</row>
    <row r="85" spans="1:2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1"/>
    </row>
    <row r="86" spans="1:2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1"/>
    </row>
    <row r="87" spans="1:2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/>
    </row>
    <row r="88" spans="1:2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</row>
    <row r="89" spans="1:2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</row>
    <row r="90" spans="1:2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</row>
    <row r="91" spans="1: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1"/>
    </row>
    <row r="92" spans="1: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1"/>
    </row>
    <row r="93" spans="1:2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1"/>
    </row>
    <row r="94" spans="1:2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1"/>
    </row>
    <row r="95" spans="1:2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1"/>
    </row>
    <row r="96" spans="1:2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1"/>
    </row>
    <row r="97" spans="1:2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</row>
    <row r="98" spans="1:2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</row>
    <row r="99" spans="1:2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</row>
    <row r="100" spans="1:2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</row>
    <row r="101" spans="1:2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</row>
    <row r="102" spans="1:2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</row>
    <row r="103" spans="1:2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</row>
    <row r="104" spans="1:2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</row>
    <row r="105" spans="1:2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</row>
    <row r="106" spans="1:2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1"/>
    </row>
    <row r="107" spans="1:2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</row>
    <row r="108" spans="1:2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1"/>
    </row>
    <row r="109" spans="1:2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</row>
    <row r="110" spans="1:2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</row>
    <row r="111" spans="1:2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</row>
    <row r="112" spans="1:2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</row>
    <row r="113" spans="1:2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1"/>
    </row>
    <row r="114" spans="1:2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</row>
    <row r="115" spans="1:2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1"/>
    </row>
    <row r="116" spans="1:2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</row>
    <row r="117" spans="1:2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1"/>
    </row>
    <row r="118" spans="1:2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</row>
    <row r="119" spans="1:2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1"/>
    </row>
    <row r="120" spans="1:2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</row>
    <row r="121" spans="1:2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1"/>
    </row>
    <row r="122" spans="1:2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</row>
    <row r="123" spans="1:2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1"/>
    </row>
    <row r="124" spans="1:2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</row>
    <row r="125" spans="1:2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1"/>
    </row>
    <row r="126" spans="1:2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</row>
    <row r="127" spans="1:2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1"/>
    </row>
    <row r="128" spans="1:2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</row>
    <row r="129" spans="1:2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1"/>
    </row>
    <row r="130" spans="1:2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</row>
    <row r="131" spans="1:2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1"/>
    </row>
    <row r="132" spans="1:2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</row>
    <row r="133" spans="1:2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1"/>
    </row>
    <row r="134" spans="1:2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1"/>
    </row>
    <row r="135" spans="1:2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</row>
    <row r="136" spans="1:2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</row>
    <row r="137" spans="1:2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</row>
    <row r="138" spans="1:2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</row>
    <row r="139" spans="1:2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</row>
    <row r="140" spans="1:2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1"/>
    </row>
    <row r="141" spans="1:2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</row>
    <row r="142" spans="1:2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</row>
    <row r="143" spans="1: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</row>
    <row r="144" spans="1:2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</row>
    <row r="145" spans="1:2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</row>
    <row r="146" spans="1:2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1"/>
    </row>
    <row r="147" spans="1:2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1"/>
    </row>
    <row r="148" spans="1:2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1"/>
    </row>
    <row r="149" spans="1:2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1"/>
    </row>
    <row r="150" spans="1:2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/>
    </row>
    <row r="151" spans="1:2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1"/>
    </row>
    <row r="152" spans="1:2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</row>
    <row r="153" spans="1: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</row>
  </sheetData>
  <mergeCells count="2">
    <mergeCell ref="A1:Y1"/>
    <mergeCell ref="A2:Y2"/>
  </mergeCells>
  <phoneticPr fontId="49" type="noConversion"/>
  <conditionalFormatting sqref="X4:X153">
    <cfRule type="containsText" dxfId="14" priority="1" operator="containsText" text="通过"/>
    <cfRule type="containsText" dxfId="13" priority="2" operator="containsText" text="争议"/>
    <cfRule type="containsText" dxfId="12" priority="3" operator="containsText" text="驳回"/>
  </conditionalFormatting>
  <dataValidations count="4">
    <dataValidation type="list" sqref="E4:E153" xr:uid="{00000000-0002-0000-0900-000000000000}">
      <formula1>"一级,二级,三级,巷道,待定"</formula1>
    </dataValidation>
    <dataValidation type="list" sqref="G4:G153" xr:uid="{00000000-0002-0000-0900-000001000000}">
      <formula1>"南北,东西,东北—西南,西北—东南,环形,其他,待定"</formula1>
    </dataValidation>
    <dataValidation type="list" sqref="V4:V153" xr:uid="{00000000-0002-0000-0900-000002000000}">
      <formula1>"史料直述,考古测量,地图测量,现代研究,计算结果,推导结论"</formula1>
    </dataValidation>
    <dataValidation type="list" sqref="X4:X153" xr:uid="{00000000-0002-0000-0900-000003000000}">
      <formula1>"草稿,待审核,通过,驳回,争议"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showGridLines="0" workbookViewId="0"/>
  </sheetViews>
  <sheetFormatPr defaultRowHeight="13.8"/>
  <cols>
    <col min="1" max="1" width="25" customWidth="1"/>
    <col min="2" max="2" width="28" customWidth="1"/>
    <col min="3" max="3" width="16" customWidth="1"/>
    <col min="4" max="5" width="25" customWidth="1"/>
    <col min="6" max="6" width="3" customWidth="1"/>
    <col min="7" max="7" width="25" customWidth="1"/>
    <col min="8" max="8" width="30" customWidth="1"/>
    <col min="9" max="9" width="14" customWidth="1"/>
    <col min="10" max="11" width="24" customWidth="1"/>
  </cols>
  <sheetData>
    <row r="1" spans="1:11" ht="30" customHeight="1">
      <c r="A1" s="115" t="s">
        <v>732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3" spans="1:11" ht="24" customHeight="1">
      <c r="A3" s="119" t="s">
        <v>733</v>
      </c>
      <c r="B3" s="119"/>
      <c r="C3" s="119"/>
      <c r="D3" s="119"/>
      <c r="E3" s="119"/>
      <c r="G3" s="119" t="s">
        <v>734</v>
      </c>
      <c r="H3" s="119"/>
      <c r="I3" s="119"/>
      <c r="J3" s="119"/>
      <c r="K3" s="119"/>
    </row>
    <row r="4" spans="1:11" ht="24" customHeight="1">
      <c r="A4" s="51" t="s">
        <v>735</v>
      </c>
      <c r="B4" s="51" t="s">
        <v>736</v>
      </c>
      <c r="C4" s="51" t="s">
        <v>737</v>
      </c>
      <c r="D4" s="51" t="s">
        <v>738</v>
      </c>
      <c r="E4" s="51" t="s">
        <v>598</v>
      </c>
      <c r="G4" s="51" t="s">
        <v>735</v>
      </c>
      <c r="H4" s="51" t="s">
        <v>736</v>
      </c>
      <c r="I4" s="51" t="s">
        <v>737</v>
      </c>
      <c r="J4" s="51" t="s">
        <v>738</v>
      </c>
      <c r="K4" s="51" t="s">
        <v>598</v>
      </c>
    </row>
    <row r="5" spans="1:11" ht="24" customHeight="1">
      <c r="A5" s="52" t="s">
        <v>739</v>
      </c>
      <c r="B5" s="52" t="s">
        <v>740</v>
      </c>
      <c r="C5" s="52" t="s">
        <v>741</v>
      </c>
      <c r="D5" s="52" t="s">
        <v>742</v>
      </c>
      <c r="E5" s="52" t="s">
        <v>743</v>
      </c>
      <c r="G5" s="52" t="s">
        <v>744</v>
      </c>
      <c r="H5" s="52" t="s">
        <v>745</v>
      </c>
      <c r="I5" s="52" t="s">
        <v>746</v>
      </c>
      <c r="J5" s="52" t="s">
        <v>747</v>
      </c>
      <c r="K5" s="52" t="s">
        <v>748</v>
      </c>
    </row>
    <row r="6" spans="1:11" ht="24" customHeight="1">
      <c r="A6" s="52" t="s">
        <v>749</v>
      </c>
      <c r="B6" s="52" t="s">
        <v>750</v>
      </c>
      <c r="C6" s="52" t="s">
        <v>741</v>
      </c>
      <c r="D6" s="52" t="s">
        <v>751</v>
      </c>
      <c r="E6" s="52" t="s">
        <v>752</v>
      </c>
      <c r="G6" s="52" t="s">
        <v>753</v>
      </c>
      <c r="H6" s="52" t="s">
        <v>754</v>
      </c>
      <c r="I6" s="52" t="s">
        <v>755</v>
      </c>
      <c r="J6" s="52" t="s">
        <v>756</v>
      </c>
      <c r="K6" s="52" t="s">
        <v>757</v>
      </c>
    </row>
    <row r="7" spans="1:11" ht="24" customHeight="1">
      <c r="A7" s="52" t="s">
        <v>758</v>
      </c>
      <c r="B7" s="52" t="s">
        <v>759</v>
      </c>
      <c r="C7" s="52" t="s">
        <v>741</v>
      </c>
      <c r="D7" s="52" t="s">
        <v>751</v>
      </c>
      <c r="E7" s="52" t="s">
        <v>752</v>
      </c>
      <c r="G7" s="52" t="s">
        <v>760</v>
      </c>
      <c r="H7" s="52" t="s">
        <v>761</v>
      </c>
      <c r="I7" s="52" t="s">
        <v>762</v>
      </c>
      <c r="J7" s="52" t="s">
        <v>763</v>
      </c>
      <c r="K7" s="52" t="s">
        <v>764</v>
      </c>
    </row>
    <row r="8" spans="1:11" ht="24" customHeight="1">
      <c r="A8" s="52" t="s">
        <v>765</v>
      </c>
      <c r="B8" s="52" t="s">
        <v>766</v>
      </c>
      <c r="C8" s="52" t="s">
        <v>741</v>
      </c>
      <c r="D8" s="52" t="s">
        <v>767</v>
      </c>
      <c r="E8" s="52" t="s">
        <v>768</v>
      </c>
      <c r="G8" s="52" t="s">
        <v>769</v>
      </c>
      <c r="H8" s="52" t="s">
        <v>770</v>
      </c>
      <c r="I8" s="52" t="s">
        <v>762</v>
      </c>
      <c r="J8" s="52" t="s">
        <v>771</v>
      </c>
      <c r="K8" s="52" t="s">
        <v>772</v>
      </c>
    </row>
    <row r="9" spans="1:11" ht="24" customHeight="1">
      <c r="A9" s="52" t="s">
        <v>773</v>
      </c>
      <c r="B9" s="52" t="s">
        <v>774</v>
      </c>
      <c r="C9" s="52" t="s">
        <v>741</v>
      </c>
      <c r="D9" s="52" t="s">
        <v>775</v>
      </c>
      <c r="E9" s="52" t="s">
        <v>776</v>
      </c>
      <c r="G9" s="52" t="s">
        <v>777</v>
      </c>
      <c r="H9" s="52" t="s">
        <v>778</v>
      </c>
      <c r="I9" s="52" t="s">
        <v>762</v>
      </c>
      <c r="J9" s="52" t="s">
        <v>779</v>
      </c>
      <c r="K9" s="52" t="s">
        <v>780</v>
      </c>
    </row>
    <row r="10" spans="1:11" ht="24" customHeight="1">
      <c r="A10" s="52" t="s">
        <v>781</v>
      </c>
      <c r="B10" s="52" t="s">
        <v>782</v>
      </c>
      <c r="C10" s="52" t="s">
        <v>741</v>
      </c>
      <c r="D10" s="52" t="s">
        <v>775</v>
      </c>
      <c r="E10" s="52" t="s">
        <v>776</v>
      </c>
      <c r="G10" s="52" t="s">
        <v>783</v>
      </c>
      <c r="H10" s="52" t="s">
        <v>784</v>
      </c>
      <c r="I10" s="52" t="s">
        <v>762</v>
      </c>
      <c r="J10" s="52" t="s">
        <v>785</v>
      </c>
      <c r="K10" s="52" t="s">
        <v>786</v>
      </c>
    </row>
    <row r="11" spans="1:11" ht="24" customHeight="1">
      <c r="A11" s="52"/>
      <c r="B11" s="52"/>
      <c r="C11" s="52"/>
      <c r="D11" s="52"/>
      <c r="E11" s="52"/>
      <c r="G11" s="52" t="s">
        <v>787</v>
      </c>
      <c r="H11" s="52" t="s">
        <v>788</v>
      </c>
      <c r="I11" s="52" t="s">
        <v>762</v>
      </c>
      <c r="J11" s="52" t="s">
        <v>789</v>
      </c>
      <c r="K11" s="52" t="s">
        <v>790</v>
      </c>
    </row>
    <row r="12" spans="1:11" ht="24" customHeight="1">
      <c r="A12" s="52"/>
      <c r="B12" s="52"/>
      <c r="C12" s="52"/>
      <c r="D12" s="52"/>
      <c r="E12" s="52"/>
      <c r="G12" s="52"/>
      <c r="H12" s="52"/>
      <c r="I12" s="52"/>
      <c r="J12" s="52"/>
      <c r="K12" s="52"/>
    </row>
    <row r="13" spans="1:11" ht="24" customHeight="1">
      <c r="A13" s="52"/>
      <c r="B13" s="52"/>
      <c r="C13" s="52"/>
      <c r="D13" s="52"/>
      <c r="E13" s="52"/>
      <c r="G13" s="52"/>
      <c r="H13" s="52"/>
      <c r="I13" s="52"/>
      <c r="J13" s="52"/>
      <c r="K13" s="52"/>
    </row>
    <row r="14" spans="1:11" ht="24" customHeight="1">
      <c r="A14" s="52"/>
      <c r="B14" s="52"/>
      <c r="C14" s="52"/>
      <c r="D14" s="52"/>
      <c r="E14" s="52"/>
      <c r="G14" s="52"/>
      <c r="H14" s="52"/>
      <c r="I14" s="52"/>
      <c r="J14" s="52"/>
      <c r="K14" s="52"/>
    </row>
    <row r="15" spans="1:11" ht="24" customHeight="1">
      <c r="A15" s="52"/>
      <c r="B15" s="52"/>
      <c r="C15" s="52"/>
      <c r="D15" s="52"/>
      <c r="E15" s="52"/>
      <c r="G15" s="52"/>
      <c r="H15" s="52"/>
      <c r="I15" s="52"/>
      <c r="J15" s="52"/>
      <c r="K15" s="52"/>
    </row>
    <row r="16" spans="1:11" ht="24" customHeight="1">
      <c r="G16" s="46"/>
      <c r="H16" s="46"/>
      <c r="I16" s="46"/>
      <c r="J16" s="46"/>
      <c r="K16" s="46"/>
    </row>
    <row r="17" spans="1:11" ht="24" customHeight="1"/>
    <row r="18" spans="1:11" ht="24" customHeight="1">
      <c r="A18" s="120" t="s">
        <v>791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</row>
    <row r="19" spans="1:11" ht="31.95" customHeight="1">
      <c r="A19" s="116" t="s">
        <v>792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</row>
    <row r="20" spans="1:11" ht="31.95" customHeight="1">
      <c r="A20" s="116" t="s">
        <v>793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  <row r="21" spans="1:11" ht="24" customHeight="1"/>
    <row r="22" spans="1:11" ht="24" customHeight="1">
      <c r="A22" s="117" t="s">
        <v>794</v>
      </c>
      <c r="B22" s="117" t="s">
        <v>795</v>
      </c>
      <c r="C22" s="117" t="s">
        <v>796</v>
      </c>
      <c r="D22" s="117" t="s">
        <v>797</v>
      </c>
      <c r="E22" s="117" t="s">
        <v>598</v>
      </c>
      <c r="F22" s="118"/>
      <c r="G22" s="118"/>
      <c r="H22" s="118"/>
      <c r="I22" s="118"/>
      <c r="J22" s="118"/>
      <c r="K22" s="118"/>
    </row>
    <row r="23" spans="1:11" ht="24" customHeight="1">
      <c r="A23" s="60" t="s">
        <v>798</v>
      </c>
      <c r="B23" s="60" t="s">
        <v>739</v>
      </c>
      <c r="C23" s="60" t="s">
        <v>740</v>
      </c>
      <c r="D23" s="60" t="s">
        <v>799</v>
      </c>
      <c r="E23" s="60" t="s">
        <v>800</v>
      </c>
    </row>
    <row r="24" spans="1:11" ht="24" customHeight="1">
      <c r="A24" s="52" t="s">
        <v>801</v>
      </c>
      <c r="B24" s="52" t="s">
        <v>802</v>
      </c>
      <c r="C24" s="52" t="s">
        <v>803</v>
      </c>
      <c r="D24" s="52" t="s">
        <v>799</v>
      </c>
      <c r="E24" s="52" t="s">
        <v>804</v>
      </c>
    </row>
    <row r="25" spans="1:11" ht="24" customHeight="1">
      <c r="A25" s="52" t="s">
        <v>805</v>
      </c>
      <c r="B25" s="52" t="s">
        <v>806</v>
      </c>
      <c r="C25" s="52" t="s">
        <v>807</v>
      </c>
      <c r="D25" s="52" t="s">
        <v>799</v>
      </c>
      <c r="E25" s="52" t="s">
        <v>804</v>
      </c>
    </row>
    <row r="26" spans="1:11" ht="24" customHeight="1">
      <c r="A26" s="52" t="s">
        <v>808</v>
      </c>
      <c r="B26" s="52" t="s">
        <v>809</v>
      </c>
      <c r="C26" s="52" t="s">
        <v>810</v>
      </c>
      <c r="D26" s="52" t="s">
        <v>811</v>
      </c>
      <c r="E26" s="52" t="s">
        <v>812</v>
      </c>
    </row>
    <row r="27" spans="1:11" ht="24" customHeight="1">
      <c r="A27" s="52" t="s">
        <v>813</v>
      </c>
      <c r="B27" s="52" t="s">
        <v>814</v>
      </c>
      <c r="C27" s="52" t="s">
        <v>810</v>
      </c>
      <c r="D27" s="52" t="s">
        <v>811</v>
      </c>
      <c r="E27" s="52" t="s">
        <v>815</v>
      </c>
    </row>
  </sheetData>
  <mergeCells count="7">
    <mergeCell ref="A1:K1"/>
    <mergeCell ref="A19:K19"/>
    <mergeCell ref="A20:K20"/>
    <mergeCell ref="A22:K22"/>
    <mergeCell ref="A3:E3"/>
    <mergeCell ref="G3:K3"/>
    <mergeCell ref="A18:K18"/>
  </mergeCells>
  <phoneticPr fontId="4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8" customWidth="1"/>
    <col min="6" max="7" width="20" customWidth="1"/>
    <col min="8" max="8" width="16" customWidth="1"/>
    <col min="9" max="10" width="28" customWidth="1"/>
    <col min="11" max="11" width="30" customWidth="1"/>
    <col min="12" max="12" width="20" customWidth="1"/>
    <col min="13" max="13" width="28" customWidth="1"/>
    <col min="14" max="14" width="30" customWidth="1"/>
    <col min="15" max="15" width="28" customWidth="1"/>
    <col min="16" max="17" width="12" customWidth="1"/>
    <col min="18" max="18" width="17" customWidth="1"/>
    <col min="19" max="19" width="18" customWidth="1"/>
    <col min="20" max="20" width="38" customWidth="1"/>
    <col min="21" max="21" width="16" customWidth="1"/>
    <col min="22" max="22" width="12" customWidth="1"/>
    <col min="23" max="23" width="14" customWidth="1"/>
    <col min="24" max="24" width="32" customWidth="1"/>
  </cols>
  <sheetData>
    <row r="1" spans="1:24" ht="30" customHeight="1">
      <c r="A1" s="105" t="s">
        <v>816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</row>
    <row r="2" spans="1:2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24" ht="34.049999999999997" customHeight="1">
      <c r="A3" s="4" t="s">
        <v>817</v>
      </c>
      <c r="B3" s="4" t="s">
        <v>576</v>
      </c>
      <c r="C3" s="4" t="s">
        <v>577</v>
      </c>
      <c r="D3" s="4" t="s">
        <v>579</v>
      </c>
      <c r="E3" s="4" t="s">
        <v>818</v>
      </c>
      <c r="F3" s="4" t="s">
        <v>819</v>
      </c>
      <c r="G3" s="4" t="s">
        <v>820</v>
      </c>
      <c r="H3" s="4" t="s">
        <v>821</v>
      </c>
      <c r="I3" s="4" t="s">
        <v>822</v>
      </c>
      <c r="J3" s="4" t="s">
        <v>727</v>
      </c>
      <c r="K3" s="4" t="s">
        <v>823</v>
      </c>
      <c r="L3" s="4" t="s">
        <v>824</v>
      </c>
      <c r="M3" s="4" t="s">
        <v>825</v>
      </c>
      <c r="N3" s="4" t="s">
        <v>584</v>
      </c>
      <c r="O3" s="4" t="s">
        <v>698</v>
      </c>
      <c r="P3" s="4" t="s">
        <v>581</v>
      </c>
      <c r="Q3" s="4" t="s">
        <v>582</v>
      </c>
      <c r="R3" s="4" t="s">
        <v>117</v>
      </c>
      <c r="S3" s="4" t="s">
        <v>188</v>
      </c>
      <c r="T3" s="4" t="s">
        <v>595</v>
      </c>
      <c r="U3" s="4" t="s">
        <v>192</v>
      </c>
      <c r="V3" s="4" t="s">
        <v>193</v>
      </c>
      <c r="W3" s="4" t="s">
        <v>129</v>
      </c>
      <c r="X3" s="4" t="s">
        <v>194</v>
      </c>
    </row>
    <row r="4" spans="1:2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 spans="1:2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1:2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 spans="1:2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</row>
    <row r="16" spans="1:2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</row>
    <row r="17" spans="1:2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</row>
    <row r="18" spans="1:2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1:2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</row>
    <row r="20" spans="1:2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</row>
    <row r="21" spans="1:2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</row>
    <row r="22" spans="1:2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3" spans="1:2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</row>
    <row r="24" spans="1:2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</row>
    <row r="25" spans="1:2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</row>
    <row r="26" spans="1:2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</row>
    <row r="27" spans="1:2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</row>
    <row r="28" spans="1:2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/>
    </row>
    <row r="29" spans="1:2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</row>
    <row r="30" spans="1:2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</row>
    <row r="31" spans="1:2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</row>
    <row r="32" spans="1:2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</row>
    <row r="33" spans="1:2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</row>
    <row r="34" spans="1:2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</row>
    <row r="35" spans="1:2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</row>
    <row r="36" spans="1:2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</row>
    <row r="38" spans="1:2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</row>
    <row r="39" spans="1:2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</row>
    <row r="40" spans="1:2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/>
    </row>
    <row r="41" spans="1:2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</row>
    <row r="42" spans="1:2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</row>
    <row r="43" spans="1:2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</row>
    <row r="44" spans="1:2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/>
    </row>
    <row r="45" spans="1:2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</row>
    <row r="46" spans="1:2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</row>
    <row r="47" spans="1:2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</row>
    <row r="48" spans="1:2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/>
    </row>
    <row r="49" spans="1:2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/>
    </row>
    <row r="50" spans="1:2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/>
    </row>
    <row r="51" spans="1:2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</row>
    <row r="52" spans="1:2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/>
    </row>
    <row r="53" spans="1:2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/>
    </row>
    <row r="54" spans="1:2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/>
    </row>
    <row r="55" spans="1:2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</row>
    <row r="56" spans="1:2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</row>
    <row r="57" spans="1:2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</row>
    <row r="58" spans="1:2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</row>
    <row r="59" spans="1:2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</row>
    <row r="60" spans="1:2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</row>
    <row r="61" spans="1:2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</row>
    <row r="62" spans="1:2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</row>
    <row r="63" spans="1:2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</row>
    <row r="64" spans="1:2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</row>
    <row r="65" spans="1:2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/>
    </row>
    <row r="66" spans="1:2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</row>
    <row r="67" spans="1:2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</row>
    <row r="68" spans="1:2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</row>
    <row r="69" spans="1:2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</row>
    <row r="70" spans="1:2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</row>
    <row r="71" spans="1:2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</row>
    <row r="72" spans="1:2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1"/>
    </row>
    <row r="73" spans="1:2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1"/>
    </row>
    <row r="74" spans="1:2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1"/>
    </row>
    <row r="75" spans="1:2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</row>
    <row r="76" spans="1:2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</row>
    <row r="77" spans="1:2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</row>
    <row r="78" spans="1:2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1"/>
    </row>
    <row r="79" spans="1:2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1"/>
    </row>
    <row r="80" spans="1:2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</row>
    <row r="81" spans="1:2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1"/>
    </row>
    <row r="82" spans="1:2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1"/>
    </row>
    <row r="83" spans="1:2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</row>
    <row r="84" spans="1:2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</row>
    <row r="85" spans="1:2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1"/>
    </row>
    <row r="86" spans="1:2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1"/>
    </row>
    <row r="87" spans="1:2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1"/>
    </row>
    <row r="88" spans="1:2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1"/>
    </row>
    <row r="89" spans="1:2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1"/>
    </row>
    <row r="90" spans="1:2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1"/>
    </row>
    <row r="91" spans="1:2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</row>
    <row r="92" spans="1:2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</row>
    <row r="93" spans="1:2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1"/>
    </row>
    <row r="94" spans="1:2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1"/>
    </row>
    <row r="95" spans="1:2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1"/>
    </row>
    <row r="96" spans="1:2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1"/>
    </row>
    <row r="97" spans="1:2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</row>
    <row r="98" spans="1:2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1"/>
    </row>
    <row r="99" spans="1:2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</row>
    <row r="100" spans="1:2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1"/>
    </row>
    <row r="101" spans="1:2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</row>
    <row r="102" spans="1:2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</row>
    <row r="103" spans="1:2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1"/>
    </row>
    <row r="104" spans="1:2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</row>
    <row r="105" spans="1:2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</row>
    <row r="106" spans="1:2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</row>
    <row r="107" spans="1:2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</row>
    <row r="108" spans="1:2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1"/>
    </row>
    <row r="109" spans="1:2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</row>
    <row r="110" spans="1:2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</row>
    <row r="111" spans="1:2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</row>
    <row r="112" spans="1:2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</row>
    <row r="113" spans="1:2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1"/>
    </row>
    <row r="114" spans="1:2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</row>
    <row r="115" spans="1:2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</row>
    <row r="116" spans="1:2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</row>
    <row r="117" spans="1:2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</row>
    <row r="118" spans="1:2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1"/>
    </row>
    <row r="119" spans="1:2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</row>
    <row r="120" spans="1:2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</row>
    <row r="121" spans="1:2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</row>
    <row r="122" spans="1:2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</row>
    <row r="123" spans="1:2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</row>
    <row r="124" spans="1:2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</row>
    <row r="125" spans="1:2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</row>
    <row r="126" spans="1:2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</row>
    <row r="127" spans="1:2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</row>
    <row r="128" spans="1:2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1"/>
    </row>
    <row r="129" spans="1:2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</row>
    <row r="130" spans="1:2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</row>
    <row r="131" spans="1:2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</row>
    <row r="132" spans="1:2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</row>
    <row r="133" spans="1:2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1"/>
    </row>
    <row r="134" spans="1:2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</row>
    <row r="135" spans="1:2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</row>
    <row r="136" spans="1:2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</row>
    <row r="137" spans="1:2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</row>
    <row r="138" spans="1:2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1"/>
    </row>
    <row r="139" spans="1:2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</row>
    <row r="140" spans="1:2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</row>
    <row r="141" spans="1:2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</row>
    <row r="142" spans="1:2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</row>
    <row r="143" spans="1:2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1"/>
    </row>
    <row r="144" spans="1:2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</row>
    <row r="145" spans="1:2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</row>
    <row r="146" spans="1:2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</row>
    <row r="147" spans="1:2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</row>
    <row r="148" spans="1:2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</row>
    <row r="149" spans="1:2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</row>
    <row r="150" spans="1:2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</row>
    <row r="151" spans="1:2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</row>
    <row r="152" spans="1:2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</row>
    <row r="153" spans="1:2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4"/>
    </row>
  </sheetData>
  <mergeCells count="2">
    <mergeCell ref="A1:X1"/>
    <mergeCell ref="A2:X2"/>
  </mergeCells>
  <phoneticPr fontId="49" type="noConversion"/>
  <conditionalFormatting sqref="W4:W153">
    <cfRule type="containsText" dxfId="11" priority="1" operator="containsText" text="通过"/>
    <cfRule type="containsText" dxfId="10" priority="2" operator="containsText" text="争议"/>
    <cfRule type="containsText" dxfId="9" priority="3" operator="containsText" text="驳回"/>
  </conditionalFormatting>
  <dataValidations count="4">
    <dataValidation type="list" sqref="E4:E153" xr:uid="{00000000-0002-0000-0B00-000000000000}">
      <formula1>"城市干渠,支渠,宫苑水道,排水渠,运河,待定"</formula1>
    </dataValidation>
    <dataValidation type="list" sqref="L4:L153" xr:uid="{00000000-0002-0000-0B00-000001000000}">
      <formula1>"生活供水,宫苑供水,灌溉,运输,景观,排水,多用途,待定"</formula1>
    </dataValidation>
    <dataValidation type="list" sqref="U4:U153" xr:uid="{00000000-0002-0000-0B00-000002000000}">
      <formula1>"史料直述,考古测量,地图测量,现代研究,计算结果,推导结论"</formula1>
    </dataValidation>
    <dataValidation type="list" sqref="W4:W153" xr:uid="{00000000-0002-0000-0B00-000003000000}">
      <formula1>"草稿,待审核,通过,驳回,争议"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53"/>
  <sheetViews>
    <sheetView showGridLines="0" workbookViewId="0"/>
  </sheetViews>
  <sheetFormatPr defaultRowHeight="13.8"/>
  <cols>
    <col min="1" max="3" width="17" customWidth="1"/>
    <col min="4" max="4" width="22" customWidth="1"/>
    <col min="5" max="5" width="18" customWidth="1"/>
    <col min="6" max="6" width="20" customWidth="1"/>
    <col min="7" max="7" width="14" customWidth="1"/>
    <col min="8" max="8" width="26" customWidth="1"/>
    <col min="9" max="9" width="14" customWidth="1"/>
    <col min="10" max="10" width="20" customWidth="1"/>
    <col min="11" max="11" width="28" customWidth="1"/>
    <col min="12" max="12" width="24" customWidth="1"/>
    <col min="13" max="13" width="17" customWidth="1"/>
    <col min="14" max="14" width="16" customWidth="1"/>
    <col min="15" max="15" width="18" customWidth="1"/>
    <col min="16" max="16" width="30" customWidth="1"/>
    <col min="17" max="17" width="15" customWidth="1"/>
    <col min="18" max="19" width="14" customWidth="1"/>
    <col min="20" max="20" width="16" customWidth="1"/>
    <col min="21" max="21" width="28" customWidth="1"/>
    <col min="22" max="22" width="18" customWidth="1"/>
    <col min="23" max="25" width="14" customWidth="1"/>
    <col min="26" max="27" width="12" customWidth="1"/>
    <col min="28" max="28" width="17" customWidth="1"/>
    <col min="29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2" customWidth="1"/>
  </cols>
  <sheetData>
    <row r="1" spans="1:34" ht="30" customHeight="1">
      <c r="A1" s="105" t="s">
        <v>826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2" spans="1:3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</row>
    <row r="3" spans="1:34" ht="34.049999999999997" customHeight="1">
      <c r="A3" s="4" t="s">
        <v>827</v>
      </c>
      <c r="B3" s="4" t="s">
        <v>576</v>
      </c>
      <c r="C3" s="4" t="s">
        <v>577</v>
      </c>
      <c r="D3" s="4" t="s">
        <v>579</v>
      </c>
      <c r="E3" s="4" t="s">
        <v>828</v>
      </c>
      <c r="F3" s="4" t="s">
        <v>829</v>
      </c>
      <c r="G3" s="4" t="s">
        <v>830</v>
      </c>
      <c r="H3" s="4" t="s">
        <v>831</v>
      </c>
      <c r="I3" s="4" t="s">
        <v>832</v>
      </c>
      <c r="J3" s="4" t="s">
        <v>833</v>
      </c>
      <c r="K3" s="4" t="s">
        <v>834</v>
      </c>
      <c r="L3" s="4" t="s">
        <v>835</v>
      </c>
      <c r="M3" s="4" t="s">
        <v>728</v>
      </c>
      <c r="N3" s="4" t="s">
        <v>729</v>
      </c>
      <c r="O3" s="4" t="s">
        <v>730</v>
      </c>
      <c r="P3" s="4" t="s">
        <v>731</v>
      </c>
      <c r="Q3" s="4" t="s">
        <v>836</v>
      </c>
      <c r="R3" s="4" t="s">
        <v>837</v>
      </c>
      <c r="S3" s="4" t="s">
        <v>838</v>
      </c>
      <c r="T3" s="4" t="s">
        <v>839</v>
      </c>
      <c r="U3" s="4" t="s">
        <v>840</v>
      </c>
      <c r="V3" s="4" t="s">
        <v>699</v>
      </c>
      <c r="W3" s="4" t="s">
        <v>841</v>
      </c>
      <c r="X3" s="4" t="s">
        <v>842</v>
      </c>
      <c r="Y3" s="4" t="s">
        <v>843</v>
      </c>
      <c r="Z3" s="4" t="s">
        <v>581</v>
      </c>
      <c r="AA3" s="4" t="s">
        <v>582</v>
      </c>
      <c r="AB3" s="4" t="s">
        <v>117</v>
      </c>
      <c r="AC3" s="4" t="s">
        <v>188</v>
      </c>
      <c r="AD3" s="4" t="s">
        <v>595</v>
      </c>
      <c r="AE3" s="4" t="s">
        <v>192</v>
      </c>
      <c r="AF3" s="4" t="s">
        <v>193</v>
      </c>
      <c r="AG3" s="4" t="s">
        <v>129</v>
      </c>
      <c r="AH3" s="4" t="s">
        <v>844</v>
      </c>
    </row>
    <row r="4" spans="1:3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"/>
    </row>
    <row r="7" spans="1:3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/>
    </row>
    <row r="8" spans="1:3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</row>
    <row r="9" spans="1:3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/>
    </row>
    <row r="10" spans="1:3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/>
    </row>
    <row r="11" spans="1:3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/>
    </row>
    <row r="12" spans="1:3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</row>
    <row r="13" spans="1:3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1"/>
    </row>
    <row r="14" spans="1:3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1"/>
    </row>
    <row r="15" spans="1:3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1"/>
    </row>
    <row r="16" spans="1:3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</row>
    <row r="17" spans="1:3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1"/>
    </row>
    <row r="18" spans="1:3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1"/>
    </row>
    <row r="19" spans="1:3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1"/>
    </row>
    <row r="20" spans="1:3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1"/>
    </row>
    <row r="21" spans="1:3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1"/>
    </row>
    <row r="22" spans="1:3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1"/>
    </row>
    <row r="23" spans="1:3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1"/>
    </row>
    <row r="24" spans="1:3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1"/>
    </row>
    <row r="25" spans="1:3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1"/>
    </row>
    <row r="26" spans="1:3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1"/>
    </row>
    <row r="27" spans="1:3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1"/>
    </row>
    <row r="28" spans="1:3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1"/>
    </row>
    <row r="29" spans="1:3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1"/>
    </row>
    <row r="30" spans="1:3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1"/>
    </row>
    <row r="31" spans="1:3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1"/>
    </row>
    <row r="32" spans="1:3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1"/>
    </row>
    <row r="33" spans="1:3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1"/>
    </row>
    <row r="34" spans="1:3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1"/>
    </row>
    <row r="35" spans="1:3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1"/>
    </row>
    <row r="36" spans="1:3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1"/>
    </row>
    <row r="37" spans="1:3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1"/>
    </row>
    <row r="38" spans="1:3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1"/>
    </row>
    <row r="39" spans="1:3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1"/>
    </row>
    <row r="40" spans="1:3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1"/>
    </row>
    <row r="41" spans="1:3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1"/>
    </row>
    <row r="42" spans="1:3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1"/>
    </row>
    <row r="43" spans="1:3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1"/>
    </row>
    <row r="44" spans="1:3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1"/>
    </row>
    <row r="45" spans="1:3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1"/>
    </row>
    <row r="46" spans="1:3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1"/>
    </row>
    <row r="47" spans="1:3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1"/>
    </row>
    <row r="48" spans="1:3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1"/>
    </row>
    <row r="49" spans="1:3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1"/>
    </row>
    <row r="50" spans="1:3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1"/>
    </row>
    <row r="51" spans="1:3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1"/>
    </row>
    <row r="52" spans="1:3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1"/>
    </row>
    <row r="53" spans="1:3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1"/>
    </row>
    <row r="54" spans="1:3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1"/>
    </row>
    <row r="55" spans="1:3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1"/>
    </row>
    <row r="56" spans="1:3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1"/>
    </row>
    <row r="57" spans="1:3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1"/>
    </row>
    <row r="58" spans="1:3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1"/>
    </row>
    <row r="59" spans="1:3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1"/>
    </row>
    <row r="60" spans="1:3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1"/>
    </row>
    <row r="61" spans="1:3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1"/>
    </row>
    <row r="62" spans="1:3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1"/>
    </row>
    <row r="63" spans="1:3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1"/>
    </row>
    <row r="64" spans="1:3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1"/>
    </row>
    <row r="65" spans="1:3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1"/>
    </row>
    <row r="66" spans="1:3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1"/>
    </row>
    <row r="67" spans="1:3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1"/>
    </row>
    <row r="68" spans="1:3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1"/>
    </row>
    <row r="69" spans="1:3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1"/>
    </row>
    <row r="70" spans="1:3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1"/>
    </row>
    <row r="71" spans="1:3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1"/>
    </row>
    <row r="72" spans="1:3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1"/>
    </row>
    <row r="73" spans="1:3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1"/>
    </row>
    <row r="74" spans="1:3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1"/>
    </row>
    <row r="75" spans="1:3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1"/>
    </row>
    <row r="76" spans="1:3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1"/>
    </row>
    <row r="77" spans="1:3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1"/>
    </row>
    <row r="78" spans="1:3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1"/>
    </row>
    <row r="79" spans="1:3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1"/>
    </row>
    <row r="80" spans="1:3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1"/>
    </row>
    <row r="81" spans="1:3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1"/>
    </row>
    <row r="82" spans="1:3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1"/>
    </row>
    <row r="83" spans="1:3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1"/>
    </row>
    <row r="84" spans="1:3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1"/>
    </row>
    <row r="85" spans="1:3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1"/>
    </row>
    <row r="86" spans="1:3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1"/>
    </row>
    <row r="87" spans="1:3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1"/>
    </row>
    <row r="88" spans="1:3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1"/>
    </row>
    <row r="89" spans="1:3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1"/>
    </row>
    <row r="90" spans="1:3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1"/>
    </row>
    <row r="91" spans="1:3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1"/>
    </row>
    <row r="92" spans="1:3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1"/>
    </row>
    <row r="93" spans="1:3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1"/>
    </row>
    <row r="94" spans="1:3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1"/>
    </row>
    <row r="95" spans="1:3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1"/>
    </row>
    <row r="96" spans="1:3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1"/>
    </row>
    <row r="97" spans="1:3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1"/>
    </row>
    <row r="98" spans="1:3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1"/>
    </row>
    <row r="99" spans="1:3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1"/>
    </row>
    <row r="100" spans="1:3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1"/>
    </row>
    <row r="101" spans="1:3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1"/>
    </row>
    <row r="102" spans="1:3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1"/>
    </row>
    <row r="103" spans="1:3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1"/>
    </row>
    <row r="104" spans="1:3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1"/>
    </row>
    <row r="105" spans="1:3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1"/>
    </row>
    <row r="106" spans="1:3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1"/>
    </row>
    <row r="107" spans="1:3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1"/>
    </row>
    <row r="108" spans="1:3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1"/>
    </row>
    <row r="109" spans="1:3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1"/>
    </row>
    <row r="110" spans="1:3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1"/>
    </row>
    <row r="111" spans="1:3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/>
    </row>
    <row r="112" spans="1:3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1"/>
    </row>
    <row r="113" spans="1:3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1"/>
    </row>
    <row r="114" spans="1:3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1"/>
    </row>
    <row r="115" spans="1:3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1"/>
    </row>
    <row r="116" spans="1:3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1"/>
    </row>
    <row r="117" spans="1:3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1"/>
    </row>
    <row r="118" spans="1:3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1"/>
    </row>
    <row r="119" spans="1:3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1"/>
    </row>
    <row r="120" spans="1:3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1"/>
    </row>
    <row r="121" spans="1:3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1"/>
    </row>
    <row r="122" spans="1:3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1"/>
    </row>
    <row r="123" spans="1:3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1"/>
    </row>
    <row r="124" spans="1:3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1"/>
    </row>
    <row r="125" spans="1:3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1"/>
    </row>
    <row r="126" spans="1:3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1"/>
    </row>
    <row r="127" spans="1:3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1"/>
    </row>
    <row r="128" spans="1:3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1"/>
    </row>
    <row r="129" spans="1:3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1"/>
    </row>
    <row r="130" spans="1:3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1"/>
    </row>
    <row r="131" spans="1:3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1"/>
    </row>
    <row r="132" spans="1:3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1"/>
    </row>
    <row r="133" spans="1:3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1"/>
    </row>
    <row r="134" spans="1:3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1"/>
    </row>
    <row r="135" spans="1:3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1"/>
    </row>
    <row r="136" spans="1:3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1"/>
    </row>
    <row r="137" spans="1:3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1"/>
    </row>
    <row r="138" spans="1:3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1"/>
    </row>
    <row r="139" spans="1:3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1"/>
    </row>
    <row r="140" spans="1:3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1"/>
    </row>
    <row r="141" spans="1:3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1"/>
    </row>
    <row r="142" spans="1:3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1"/>
    </row>
    <row r="143" spans="1:3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1"/>
    </row>
    <row r="144" spans="1:3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1"/>
    </row>
    <row r="145" spans="1:3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1"/>
    </row>
    <row r="146" spans="1:3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1"/>
    </row>
    <row r="147" spans="1:3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1"/>
    </row>
    <row r="148" spans="1:3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1"/>
    </row>
    <row r="149" spans="1:3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1"/>
    </row>
    <row r="150" spans="1:3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1"/>
    </row>
    <row r="151" spans="1:3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1"/>
    </row>
    <row r="152" spans="1:3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1"/>
    </row>
    <row r="153" spans="1:3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/>
    </row>
  </sheetData>
  <mergeCells count="2">
    <mergeCell ref="A1:AH1"/>
    <mergeCell ref="A2:AH2"/>
  </mergeCells>
  <phoneticPr fontId="49" type="noConversion"/>
  <conditionalFormatting sqref="AG4:AG153">
    <cfRule type="containsText" dxfId="8" priority="1" operator="containsText" text="通过"/>
    <cfRule type="containsText" dxfId="7" priority="2" operator="containsText" text="争议"/>
    <cfRule type="containsText" dxfId="6" priority="3" operator="containsText" text="驳回"/>
  </conditionalFormatting>
  <dataValidations count="6">
    <dataValidation type="list" sqref="E4:E153" xr:uid="{00000000-0002-0000-0C00-000000000000}">
      <formula1>"外郭城门,皇城门,宫城门,宫苑门,苑门,其他,待定"</formula1>
    </dataValidation>
    <dataValidation type="list" sqref="G4:G153" xr:uid="{00000000-0002-0000-0C00-000001000000}">
      <formula1>"东,西,南,北,东北,东南,西北,西南,待定"</formula1>
    </dataValidation>
    <dataValidation type="list" sqref="I4:I153" xr:uid="{00000000-0002-0000-0C00-000002000000}">
      <formula1>"一级,二级,三级,礼仪专用,一般,待定"</formula1>
    </dataValidation>
    <dataValidation type="list" sqref="V4:V153" xr:uid="{00000000-0002-0000-0C00-000003000000}">
      <formula1>"精确,较精确,概略,待定位"</formula1>
    </dataValidation>
    <dataValidation type="list" sqref="AE4:AE153" xr:uid="{00000000-0002-0000-0C00-000004000000}">
      <formula1>"史料直述,考古测量,地图测量,现代研究,计算结果,推导结论"</formula1>
    </dataValidation>
    <dataValidation type="list" sqref="AG4:AG153" xr:uid="{00000000-0002-0000-0C00-000005000000}">
      <formula1>"草稿,待审核,通过,驳回,争议"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03"/>
  <sheetViews>
    <sheetView showGridLines="0" workbookViewId="0"/>
  </sheetViews>
  <sheetFormatPr defaultRowHeight="13.8"/>
  <cols>
    <col min="1" max="1" width="17" customWidth="1"/>
    <col min="2" max="2" width="19" customWidth="1"/>
    <col min="3" max="3" width="17" customWidth="1"/>
    <col min="4" max="4" width="19" customWidth="1"/>
    <col min="5" max="5" width="17" customWidth="1"/>
    <col min="6" max="6" width="16" customWidth="1"/>
    <col min="7" max="7" width="17" customWidth="1"/>
    <col min="8" max="8" width="16" customWidth="1"/>
    <col min="9" max="9" width="18" customWidth="1"/>
    <col min="10" max="10" width="17" customWidth="1"/>
    <col min="11" max="11" width="16" customWidth="1"/>
    <col min="12" max="12" width="18" customWidth="1"/>
    <col min="13" max="14" width="16" customWidth="1"/>
    <col min="15" max="15" width="28" customWidth="1"/>
    <col min="16" max="16" width="16" customWidth="1"/>
    <col min="17" max="17" width="24" customWidth="1"/>
    <col min="18" max="18" width="30" customWidth="1"/>
    <col min="19" max="20" width="12" customWidth="1"/>
    <col min="21" max="21" width="17" customWidth="1"/>
    <col min="22" max="22" width="18" customWidth="1"/>
    <col min="23" max="23" width="36" customWidth="1"/>
    <col min="24" max="24" width="16" customWidth="1"/>
    <col min="25" max="25" width="12" customWidth="1"/>
    <col min="26" max="26" width="14" customWidth="1"/>
    <col min="27" max="27" width="32" customWidth="1"/>
  </cols>
  <sheetData>
    <row r="1" spans="1:27" ht="30" customHeight="1">
      <c r="A1" s="105" t="s">
        <v>845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ht="34.049999999999997" customHeight="1">
      <c r="A3" s="4" t="s">
        <v>846</v>
      </c>
      <c r="B3" s="4" t="s">
        <v>847</v>
      </c>
      <c r="C3" s="4" t="s">
        <v>848</v>
      </c>
      <c r="D3" s="4" t="s">
        <v>849</v>
      </c>
      <c r="E3" s="4" t="s">
        <v>850</v>
      </c>
      <c r="F3" s="4" t="s">
        <v>851</v>
      </c>
      <c r="G3" s="4" t="s">
        <v>852</v>
      </c>
      <c r="H3" s="4" t="s">
        <v>853</v>
      </c>
      <c r="I3" s="4" t="s">
        <v>854</v>
      </c>
      <c r="J3" s="4" t="s">
        <v>855</v>
      </c>
      <c r="K3" s="4" t="s">
        <v>856</v>
      </c>
      <c r="L3" s="4" t="s">
        <v>857</v>
      </c>
      <c r="M3" s="4" t="s">
        <v>858</v>
      </c>
      <c r="N3" s="4" t="s">
        <v>859</v>
      </c>
      <c r="O3" s="4" t="s">
        <v>860</v>
      </c>
      <c r="P3" s="4" t="s">
        <v>861</v>
      </c>
      <c r="Q3" s="4" t="s">
        <v>862</v>
      </c>
      <c r="R3" s="4" t="s">
        <v>863</v>
      </c>
      <c r="S3" s="4" t="s">
        <v>581</v>
      </c>
      <c r="T3" s="4" t="s">
        <v>582</v>
      </c>
      <c r="U3" s="4" t="s">
        <v>117</v>
      </c>
      <c r="V3" s="4" t="s">
        <v>585</v>
      </c>
      <c r="W3" s="4" t="s">
        <v>595</v>
      </c>
      <c r="X3" s="4" t="s">
        <v>192</v>
      </c>
      <c r="Y3" s="4" t="s">
        <v>193</v>
      </c>
      <c r="Z3" s="4" t="s">
        <v>129</v>
      </c>
      <c r="AA3" s="4" t="s">
        <v>194</v>
      </c>
    </row>
    <row r="4" spans="1:27" ht="42" customHeight="1">
      <c r="A4" s="5"/>
      <c r="B4" s="5"/>
      <c r="C4" s="5"/>
      <c r="D4" s="5"/>
      <c r="E4" s="5"/>
      <c r="F4" s="5"/>
      <c r="G4" s="15"/>
      <c r="H4" s="15"/>
      <c r="I4" s="15"/>
      <c r="J4" s="15"/>
      <c r="K4" s="15"/>
      <c r="L4" s="15"/>
      <c r="M4" s="15"/>
      <c r="N4" s="15" t="str">
        <f t="shared" ref="N4:N35" si="0">IFERROR(I4/L4,"")</f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6"/>
      <c r="B5" s="7"/>
      <c r="C5" s="7"/>
      <c r="D5" s="7"/>
      <c r="E5" s="7"/>
      <c r="F5" s="7"/>
      <c r="G5" s="16"/>
      <c r="H5" s="16"/>
      <c r="I5" s="16"/>
      <c r="J5" s="16"/>
      <c r="K5" s="16"/>
      <c r="L5" s="16"/>
      <c r="M5" s="16"/>
      <c r="N5" s="16" t="str">
        <f t="shared" si="0"/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 spans="1:27">
      <c r="A6" s="9"/>
      <c r="B6" s="10"/>
      <c r="C6" s="10"/>
      <c r="D6" s="10"/>
      <c r="E6" s="10"/>
      <c r="F6" s="10"/>
      <c r="G6" s="17"/>
      <c r="H6" s="17"/>
      <c r="I6" s="17"/>
      <c r="J6" s="17"/>
      <c r="K6" s="17"/>
      <c r="L6" s="17"/>
      <c r="M6" s="17"/>
      <c r="N6" s="17" t="str">
        <f t="shared" si="0"/>
        <v/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</row>
    <row r="7" spans="1:27">
      <c r="A7" s="9"/>
      <c r="B7" s="10"/>
      <c r="C7" s="10"/>
      <c r="D7" s="10"/>
      <c r="E7" s="10"/>
      <c r="F7" s="10"/>
      <c r="G7" s="17"/>
      <c r="H7" s="17"/>
      <c r="I7" s="17"/>
      <c r="J7" s="17"/>
      <c r="K7" s="17"/>
      <c r="L7" s="17"/>
      <c r="M7" s="17"/>
      <c r="N7" s="17" t="str">
        <f t="shared" si="0"/>
        <v/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1"/>
    </row>
    <row r="8" spans="1:27">
      <c r="A8" s="9"/>
      <c r="B8" s="10"/>
      <c r="C8" s="10"/>
      <c r="D8" s="10"/>
      <c r="E8" s="10"/>
      <c r="F8" s="10"/>
      <c r="G8" s="17"/>
      <c r="H8" s="17"/>
      <c r="I8" s="17"/>
      <c r="J8" s="17"/>
      <c r="K8" s="17"/>
      <c r="L8" s="17"/>
      <c r="M8" s="17"/>
      <c r="N8" s="17" t="str">
        <f t="shared" si="0"/>
        <v/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>
      <c r="A9" s="9"/>
      <c r="B9" s="10"/>
      <c r="C9" s="10"/>
      <c r="D9" s="10"/>
      <c r="E9" s="10"/>
      <c r="F9" s="10"/>
      <c r="G9" s="17"/>
      <c r="H9" s="17"/>
      <c r="I9" s="17"/>
      <c r="J9" s="17"/>
      <c r="K9" s="17"/>
      <c r="L9" s="17"/>
      <c r="M9" s="17"/>
      <c r="N9" s="17" t="str">
        <f t="shared" si="0"/>
        <v/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>
      <c r="A10" s="9"/>
      <c r="B10" s="10"/>
      <c r="C10" s="10"/>
      <c r="D10" s="10"/>
      <c r="E10" s="10"/>
      <c r="F10" s="10"/>
      <c r="G10" s="17"/>
      <c r="H10" s="17"/>
      <c r="I10" s="17"/>
      <c r="J10" s="17"/>
      <c r="K10" s="17"/>
      <c r="L10" s="17"/>
      <c r="M10" s="17"/>
      <c r="N10" s="17" t="str">
        <f t="shared" si="0"/>
        <v/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7">
      <c r="A11" s="9"/>
      <c r="B11" s="10"/>
      <c r="C11" s="10"/>
      <c r="D11" s="10"/>
      <c r="E11" s="10"/>
      <c r="F11" s="10"/>
      <c r="G11" s="17"/>
      <c r="H11" s="17"/>
      <c r="I11" s="17"/>
      <c r="J11" s="17"/>
      <c r="K11" s="17"/>
      <c r="L11" s="17"/>
      <c r="M11" s="17"/>
      <c r="N11" s="17" t="str">
        <f t="shared" si="0"/>
        <v/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7">
      <c r="A12" s="9"/>
      <c r="B12" s="10"/>
      <c r="C12" s="10"/>
      <c r="D12" s="10"/>
      <c r="E12" s="10"/>
      <c r="F12" s="10"/>
      <c r="G12" s="17"/>
      <c r="H12" s="17"/>
      <c r="I12" s="17"/>
      <c r="J12" s="17"/>
      <c r="K12" s="17"/>
      <c r="L12" s="17"/>
      <c r="M12" s="17"/>
      <c r="N12" s="17" t="str">
        <f t="shared" si="0"/>
        <v/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7">
      <c r="A13" s="9"/>
      <c r="B13" s="10"/>
      <c r="C13" s="10"/>
      <c r="D13" s="10"/>
      <c r="E13" s="10"/>
      <c r="F13" s="10"/>
      <c r="G13" s="17"/>
      <c r="H13" s="17"/>
      <c r="I13" s="17"/>
      <c r="J13" s="17"/>
      <c r="K13" s="17"/>
      <c r="L13" s="17"/>
      <c r="M13" s="17"/>
      <c r="N13" s="17" t="str">
        <f t="shared" si="0"/>
        <v/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7">
      <c r="A14" s="9"/>
      <c r="B14" s="10"/>
      <c r="C14" s="10"/>
      <c r="D14" s="10"/>
      <c r="E14" s="10"/>
      <c r="F14" s="10"/>
      <c r="G14" s="17"/>
      <c r="H14" s="17"/>
      <c r="I14" s="17"/>
      <c r="J14" s="17"/>
      <c r="K14" s="17"/>
      <c r="L14" s="17"/>
      <c r="M14" s="17"/>
      <c r="N14" s="17" t="str">
        <f t="shared" si="0"/>
        <v/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7">
      <c r="A15" s="9"/>
      <c r="B15" s="10"/>
      <c r="C15" s="10"/>
      <c r="D15" s="10"/>
      <c r="E15" s="10"/>
      <c r="F15" s="10"/>
      <c r="G15" s="17"/>
      <c r="H15" s="17"/>
      <c r="I15" s="17"/>
      <c r="J15" s="17"/>
      <c r="K15" s="17"/>
      <c r="L15" s="17"/>
      <c r="M15" s="17"/>
      <c r="N15" s="17" t="str">
        <f t="shared" si="0"/>
        <v/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7">
      <c r="A16" s="9"/>
      <c r="B16" s="10"/>
      <c r="C16" s="10"/>
      <c r="D16" s="10"/>
      <c r="E16" s="10"/>
      <c r="F16" s="10"/>
      <c r="G16" s="17"/>
      <c r="H16" s="17"/>
      <c r="I16" s="17"/>
      <c r="J16" s="17"/>
      <c r="K16" s="17"/>
      <c r="L16" s="17"/>
      <c r="M16" s="17"/>
      <c r="N16" s="17" t="str">
        <f t="shared" si="0"/>
        <v/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>
      <c r="A17" s="9"/>
      <c r="B17" s="10"/>
      <c r="C17" s="10"/>
      <c r="D17" s="10"/>
      <c r="E17" s="10"/>
      <c r="F17" s="10"/>
      <c r="G17" s="17"/>
      <c r="H17" s="17"/>
      <c r="I17" s="17"/>
      <c r="J17" s="17"/>
      <c r="K17" s="17"/>
      <c r="L17" s="17"/>
      <c r="M17" s="17"/>
      <c r="N17" s="17" t="str">
        <f t="shared" si="0"/>
        <v/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>
      <c r="A18" s="9"/>
      <c r="B18" s="10"/>
      <c r="C18" s="10"/>
      <c r="D18" s="10"/>
      <c r="E18" s="10"/>
      <c r="F18" s="10"/>
      <c r="G18" s="17"/>
      <c r="H18" s="17"/>
      <c r="I18" s="17"/>
      <c r="J18" s="17"/>
      <c r="K18" s="17"/>
      <c r="L18" s="17"/>
      <c r="M18" s="17"/>
      <c r="N18" s="17" t="str">
        <f t="shared" si="0"/>
        <v/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>
      <c r="A19" s="9"/>
      <c r="B19" s="10"/>
      <c r="C19" s="10"/>
      <c r="D19" s="10"/>
      <c r="E19" s="10"/>
      <c r="F19" s="10"/>
      <c r="G19" s="17"/>
      <c r="H19" s="17"/>
      <c r="I19" s="17"/>
      <c r="J19" s="17"/>
      <c r="K19" s="17"/>
      <c r="L19" s="17"/>
      <c r="M19" s="17"/>
      <c r="N19" s="17" t="str">
        <f t="shared" si="0"/>
        <v/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>
      <c r="A20" s="9"/>
      <c r="B20" s="10"/>
      <c r="C20" s="10"/>
      <c r="D20" s="10"/>
      <c r="E20" s="10"/>
      <c r="F20" s="10"/>
      <c r="G20" s="17"/>
      <c r="H20" s="17"/>
      <c r="I20" s="17"/>
      <c r="J20" s="17"/>
      <c r="K20" s="17"/>
      <c r="L20" s="17"/>
      <c r="M20" s="17"/>
      <c r="N20" s="17" t="str">
        <f t="shared" si="0"/>
        <v/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>
      <c r="A21" s="9"/>
      <c r="B21" s="10"/>
      <c r="C21" s="10"/>
      <c r="D21" s="10"/>
      <c r="E21" s="10"/>
      <c r="F21" s="10"/>
      <c r="G21" s="17"/>
      <c r="H21" s="17"/>
      <c r="I21" s="17"/>
      <c r="J21" s="17"/>
      <c r="K21" s="17"/>
      <c r="L21" s="17"/>
      <c r="M21" s="17"/>
      <c r="N21" s="17" t="str">
        <f t="shared" si="0"/>
        <v/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>
      <c r="A22" s="9"/>
      <c r="B22" s="10"/>
      <c r="C22" s="10"/>
      <c r="D22" s="10"/>
      <c r="E22" s="10"/>
      <c r="F22" s="10"/>
      <c r="G22" s="17"/>
      <c r="H22" s="17"/>
      <c r="I22" s="17"/>
      <c r="J22" s="17"/>
      <c r="K22" s="17"/>
      <c r="L22" s="17"/>
      <c r="M22" s="17"/>
      <c r="N22" s="17" t="str">
        <f t="shared" si="0"/>
        <v/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>
      <c r="A23" s="9"/>
      <c r="B23" s="10"/>
      <c r="C23" s="10"/>
      <c r="D23" s="10"/>
      <c r="E23" s="10"/>
      <c r="F23" s="10"/>
      <c r="G23" s="17"/>
      <c r="H23" s="17"/>
      <c r="I23" s="17"/>
      <c r="J23" s="17"/>
      <c r="K23" s="17"/>
      <c r="L23" s="17"/>
      <c r="M23" s="17"/>
      <c r="N23" s="17" t="str">
        <f t="shared" si="0"/>
        <v/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>
      <c r="A24" s="9"/>
      <c r="B24" s="10"/>
      <c r="C24" s="10"/>
      <c r="D24" s="10"/>
      <c r="E24" s="10"/>
      <c r="F24" s="10"/>
      <c r="G24" s="17"/>
      <c r="H24" s="17"/>
      <c r="I24" s="17"/>
      <c r="J24" s="17"/>
      <c r="K24" s="17"/>
      <c r="L24" s="17"/>
      <c r="M24" s="17"/>
      <c r="N24" s="17" t="str">
        <f t="shared" si="0"/>
        <v/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>
      <c r="A25" s="9"/>
      <c r="B25" s="10"/>
      <c r="C25" s="10"/>
      <c r="D25" s="10"/>
      <c r="E25" s="10"/>
      <c r="F25" s="10"/>
      <c r="G25" s="17"/>
      <c r="H25" s="17"/>
      <c r="I25" s="17"/>
      <c r="J25" s="17"/>
      <c r="K25" s="17"/>
      <c r="L25" s="17"/>
      <c r="M25" s="17"/>
      <c r="N25" s="17" t="str">
        <f t="shared" si="0"/>
        <v/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>
      <c r="A26" s="9"/>
      <c r="B26" s="10"/>
      <c r="C26" s="10"/>
      <c r="D26" s="10"/>
      <c r="E26" s="10"/>
      <c r="F26" s="10"/>
      <c r="G26" s="17"/>
      <c r="H26" s="17"/>
      <c r="I26" s="17"/>
      <c r="J26" s="17"/>
      <c r="K26" s="17"/>
      <c r="L26" s="17"/>
      <c r="M26" s="17"/>
      <c r="N26" s="17" t="str">
        <f t="shared" si="0"/>
        <v/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>
      <c r="A27" s="9"/>
      <c r="B27" s="10"/>
      <c r="C27" s="10"/>
      <c r="D27" s="10"/>
      <c r="E27" s="10"/>
      <c r="F27" s="10"/>
      <c r="G27" s="17"/>
      <c r="H27" s="17"/>
      <c r="I27" s="17"/>
      <c r="J27" s="17"/>
      <c r="K27" s="17"/>
      <c r="L27" s="17"/>
      <c r="M27" s="17"/>
      <c r="N27" s="17" t="str">
        <f t="shared" si="0"/>
        <v/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>
      <c r="A28" s="9"/>
      <c r="B28" s="10"/>
      <c r="C28" s="10"/>
      <c r="D28" s="10"/>
      <c r="E28" s="10"/>
      <c r="F28" s="10"/>
      <c r="G28" s="17"/>
      <c r="H28" s="17"/>
      <c r="I28" s="17"/>
      <c r="J28" s="17"/>
      <c r="K28" s="17"/>
      <c r="L28" s="17"/>
      <c r="M28" s="17"/>
      <c r="N28" s="17" t="str">
        <f t="shared" si="0"/>
        <v/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>
      <c r="A29" s="9"/>
      <c r="B29" s="10"/>
      <c r="C29" s="10"/>
      <c r="D29" s="10"/>
      <c r="E29" s="10"/>
      <c r="F29" s="10"/>
      <c r="G29" s="17"/>
      <c r="H29" s="17"/>
      <c r="I29" s="17"/>
      <c r="J29" s="17"/>
      <c r="K29" s="17"/>
      <c r="L29" s="17"/>
      <c r="M29" s="17"/>
      <c r="N29" s="17" t="str">
        <f t="shared" si="0"/>
        <v/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>
      <c r="A30" s="9"/>
      <c r="B30" s="10"/>
      <c r="C30" s="10"/>
      <c r="D30" s="10"/>
      <c r="E30" s="10"/>
      <c r="F30" s="10"/>
      <c r="G30" s="17"/>
      <c r="H30" s="17"/>
      <c r="I30" s="17"/>
      <c r="J30" s="17"/>
      <c r="K30" s="17"/>
      <c r="L30" s="17"/>
      <c r="M30" s="17"/>
      <c r="N30" s="17" t="str">
        <f t="shared" si="0"/>
        <v/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>
      <c r="A31" s="9"/>
      <c r="B31" s="10"/>
      <c r="C31" s="10"/>
      <c r="D31" s="10"/>
      <c r="E31" s="10"/>
      <c r="F31" s="10"/>
      <c r="G31" s="17"/>
      <c r="H31" s="17"/>
      <c r="I31" s="17"/>
      <c r="J31" s="17"/>
      <c r="K31" s="17"/>
      <c r="L31" s="17"/>
      <c r="M31" s="17"/>
      <c r="N31" s="17" t="str">
        <f t="shared" si="0"/>
        <v/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>
      <c r="A32" s="9"/>
      <c r="B32" s="10"/>
      <c r="C32" s="10"/>
      <c r="D32" s="10"/>
      <c r="E32" s="10"/>
      <c r="F32" s="10"/>
      <c r="G32" s="17"/>
      <c r="H32" s="17"/>
      <c r="I32" s="17"/>
      <c r="J32" s="17"/>
      <c r="K32" s="17"/>
      <c r="L32" s="17"/>
      <c r="M32" s="17"/>
      <c r="N32" s="17" t="str">
        <f t="shared" si="0"/>
        <v/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  <row r="33" spans="1:27">
      <c r="A33" s="9"/>
      <c r="B33" s="10"/>
      <c r="C33" s="10"/>
      <c r="D33" s="10"/>
      <c r="E33" s="10"/>
      <c r="F33" s="10"/>
      <c r="G33" s="17"/>
      <c r="H33" s="17"/>
      <c r="I33" s="17"/>
      <c r="J33" s="17"/>
      <c r="K33" s="17"/>
      <c r="L33" s="17"/>
      <c r="M33" s="17"/>
      <c r="N33" s="17" t="str">
        <f t="shared" si="0"/>
        <v/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/>
    </row>
    <row r="34" spans="1:27">
      <c r="A34" s="9"/>
      <c r="B34" s="10"/>
      <c r="C34" s="10"/>
      <c r="D34" s="10"/>
      <c r="E34" s="10"/>
      <c r="F34" s="10"/>
      <c r="G34" s="17"/>
      <c r="H34" s="17"/>
      <c r="I34" s="17"/>
      <c r="J34" s="17"/>
      <c r="K34" s="17"/>
      <c r="L34" s="17"/>
      <c r="M34" s="17"/>
      <c r="N34" s="17" t="str">
        <f t="shared" si="0"/>
        <v/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</row>
    <row r="35" spans="1:27">
      <c r="A35" s="9"/>
      <c r="B35" s="10"/>
      <c r="C35" s="10"/>
      <c r="D35" s="10"/>
      <c r="E35" s="10"/>
      <c r="F35" s="10"/>
      <c r="G35" s="17"/>
      <c r="H35" s="17"/>
      <c r="I35" s="17"/>
      <c r="J35" s="17"/>
      <c r="K35" s="17"/>
      <c r="L35" s="17"/>
      <c r="M35" s="17"/>
      <c r="N35" s="17" t="str">
        <f t="shared" si="0"/>
        <v/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</row>
    <row r="36" spans="1:27">
      <c r="A36" s="9"/>
      <c r="B36" s="10"/>
      <c r="C36" s="10"/>
      <c r="D36" s="10"/>
      <c r="E36" s="10"/>
      <c r="F36" s="10"/>
      <c r="G36" s="17"/>
      <c r="H36" s="17"/>
      <c r="I36" s="17"/>
      <c r="J36" s="17"/>
      <c r="K36" s="17"/>
      <c r="L36" s="17"/>
      <c r="M36" s="17"/>
      <c r="N36" s="17" t="str">
        <f t="shared" ref="N36:N67" si="1">IFERROR(I36/L36,"")</f>
        <v/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</row>
    <row r="37" spans="1:27">
      <c r="A37" s="9"/>
      <c r="B37" s="10"/>
      <c r="C37" s="10"/>
      <c r="D37" s="10"/>
      <c r="E37" s="10"/>
      <c r="F37" s="10"/>
      <c r="G37" s="17"/>
      <c r="H37" s="17"/>
      <c r="I37" s="17"/>
      <c r="J37" s="17"/>
      <c r="K37" s="17"/>
      <c r="L37" s="17"/>
      <c r="M37" s="17"/>
      <c r="N37" s="17" t="str">
        <f t="shared" si="1"/>
        <v/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/>
    </row>
    <row r="38" spans="1:27">
      <c r="A38" s="9"/>
      <c r="B38" s="10"/>
      <c r="C38" s="10"/>
      <c r="D38" s="10"/>
      <c r="E38" s="10"/>
      <c r="F38" s="10"/>
      <c r="G38" s="17"/>
      <c r="H38" s="17"/>
      <c r="I38" s="17"/>
      <c r="J38" s="17"/>
      <c r="K38" s="17"/>
      <c r="L38" s="17"/>
      <c r="M38" s="17"/>
      <c r="N38" s="17" t="str">
        <f t="shared" si="1"/>
        <v/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</row>
    <row r="39" spans="1:27">
      <c r="A39" s="9"/>
      <c r="B39" s="10"/>
      <c r="C39" s="10"/>
      <c r="D39" s="10"/>
      <c r="E39" s="10"/>
      <c r="F39" s="10"/>
      <c r="G39" s="17"/>
      <c r="H39" s="17"/>
      <c r="I39" s="17"/>
      <c r="J39" s="17"/>
      <c r="K39" s="17"/>
      <c r="L39" s="17"/>
      <c r="M39" s="17"/>
      <c r="N39" s="17" t="str">
        <f t="shared" si="1"/>
        <v/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</row>
    <row r="40" spans="1:27">
      <c r="A40" s="9"/>
      <c r="B40" s="10"/>
      <c r="C40" s="10"/>
      <c r="D40" s="10"/>
      <c r="E40" s="10"/>
      <c r="F40" s="10"/>
      <c r="G40" s="17"/>
      <c r="H40" s="17"/>
      <c r="I40" s="17"/>
      <c r="J40" s="17"/>
      <c r="K40" s="17"/>
      <c r="L40" s="17"/>
      <c r="M40" s="17"/>
      <c r="N40" s="17" t="str">
        <f t="shared" si="1"/>
        <v/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</row>
    <row r="41" spans="1:27">
      <c r="A41" s="9"/>
      <c r="B41" s="10"/>
      <c r="C41" s="10"/>
      <c r="D41" s="10"/>
      <c r="E41" s="10"/>
      <c r="F41" s="10"/>
      <c r="G41" s="17"/>
      <c r="H41" s="17"/>
      <c r="I41" s="17"/>
      <c r="J41" s="17"/>
      <c r="K41" s="17"/>
      <c r="L41" s="17"/>
      <c r="M41" s="17"/>
      <c r="N41" s="17" t="str">
        <f t="shared" si="1"/>
        <v/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</row>
    <row r="42" spans="1:27">
      <c r="A42" s="9"/>
      <c r="B42" s="10"/>
      <c r="C42" s="10"/>
      <c r="D42" s="10"/>
      <c r="E42" s="10"/>
      <c r="F42" s="10"/>
      <c r="G42" s="17"/>
      <c r="H42" s="17"/>
      <c r="I42" s="17"/>
      <c r="J42" s="17"/>
      <c r="K42" s="17"/>
      <c r="L42" s="17"/>
      <c r="M42" s="17"/>
      <c r="N42" s="17" t="str">
        <f t="shared" si="1"/>
        <v/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/>
    </row>
    <row r="43" spans="1:27">
      <c r="A43" s="9"/>
      <c r="B43" s="10"/>
      <c r="C43" s="10"/>
      <c r="D43" s="10"/>
      <c r="E43" s="10"/>
      <c r="F43" s="10"/>
      <c r="G43" s="17"/>
      <c r="H43" s="17"/>
      <c r="I43" s="17"/>
      <c r="J43" s="17"/>
      <c r="K43" s="17"/>
      <c r="L43" s="17"/>
      <c r="M43" s="17"/>
      <c r="N43" s="17" t="str">
        <f t="shared" si="1"/>
        <v/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</row>
    <row r="44" spans="1:27">
      <c r="A44" s="9"/>
      <c r="B44" s="10"/>
      <c r="C44" s="10"/>
      <c r="D44" s="10"/>
      <c r="E44" s="10"/>
      <c r="F44" s="10"/>
      <c r="G44" s="17"/>
      <c r="H44" s="17"/>
      <c r="I44" s="17"/>
      <c r="J44" s="17"/>
      <c r="K44" s="17"/>
      <c r="L44" s="17"/>
      <c r="M44" s="17"/>
      <c r="N44" s="17" t="str">
        <f t="shared" si="1"/>
        <v/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/>
    </row>
    <row r="45" spans="1:27">
      <c r="A45" s="9"/>
      <c r="B45" s="10"/>
      <c r="C45" s="10"/>
      <c r="D45" s="10"/>
      <c r="E45" s="10"/>
      <c r="F45" s="10"/>
      <c r="G45" s="17"/>
      <c r="H45" s="17"/>
      <c r="I45" s="17"/>
      <c r="J45" s="17"/>
      <c r="K45" s="17"/>
      <c r="L45" s="17"/>
      <c r="M45" s="17"/>
      <c r="N45" s="17" t="str">
        <f t="shared" si="1"/>
        <v/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</row>
    <row r="46" spans="1:27">
      <c r="A46" s="9"/>
      <c r="B46" s="10"/>
      <c r="C46" s="10"/>
      <c r="D46" s="10"/>
      <c r="E46" s="10"/>
      <c r="F46" s="10"/>
      <c r="G46" s="17"/>
      <c r="H46" s="17"/>
      <c r="I46" s="17"/>
      <c r="J46" s="17"/>
      <c r="K46" s="17"/>
      <c r="L46" s="17"/>
      <c r="M46" s="17"/>
      <c r="N46" s="17" t="str">
        <f t="shared" si="1"/>
        <v/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/>
    </row>
    <row r="47" spans="1:27">
      <c r="A47" s="9"/>
      <c r="B47" s="10"/>
      <c r="C47" s="10"/>
      <c r="D47" s="10"/>
      <c r="E47" s="10"/>
      <c r="F47" s="10"/>
      <c r="G47" s="17"/>
      <c r="H47" s="17"/>
      <c r="I47" s="17"/>
      <c r="J47" s="17"/>
      <c r="K47" s="17"/>
      <c r="L47" s="17"/>
      <c r="M47" s="17"/>
      <c r="N47" s="17" t="str">
        <f t="shared" si="1"/>
        <v/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</row>
    <row r="48" spans="1:27">
      <c r="A48" s="9"/>
      <c r="B48" s="10"/>
      <c r="C48" s="10"/>
      <c r="D48" s="10"/>
      <c r="E48" s="10"/>
      <c r="F48" s="10"/>
      <c r="G48" s="17"/>
      <c r="H48" s="17"/>
      <c r="I48" s="17"/>
      <c r="J48" s="17"/>
      <c r="K48" s="17"/>
      <c r="L48" s="17"/>
      <c r="M48" s="17"/>
      <c r="N48" s="17" t="str">
        <f t="shared" si="1"/>
        <v/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/>
    </row>
    <row r="49" spans="1:27">
      <c r="A49" s="9"/>
      <c r="B49" s="10"/>
      <c r="C49" s="10"/>
      <c r="D49" s="10"/>
      <c r="E49" s="10"/>
      <c r="F49" s="10"/>
      <c r="G49" s="17"/>
      <c r="H49" s="17"/>
      <c r="I49" s="17"/>
      <c r="J49" s="17"/>
      <c r="K49" s="17"/>
      <c r="L49" s="17"/>
      <c r="M49" s="17"/>
      <c r="N49" s="17" t="str">
        <f t="shared" si="1"/>
        <v/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</row>
    <row r="50" spans="1:27">
      <c r="A50" s="9"/>
      <c r="B50" s="10"/>
      <c r="C50" s="10"/>
      <c r="D50" s="10"/>
      <c r="E50" s="10"/>
      <c r="F50" s="10"/>
      <c r="G50" s="17"/>
      <c r="H50" s="17"/>
      <c r="I50" s="17"/>
      <c r="J50" s="17"/>
      <c r="K50" s="17"/>
      <c r="L50" s="17"/>
      <c r="M50" s="17"/>
      <c r="N50" s="17" t="str">
        <f t="shared" si="1"/>
        <v/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/>
    </row>
    <row r="51" spans="1:27">
      <c r="A51" s="9"/>
      <c r="B51" s="10"/>
      <c r="C51" s="10"/>
      <c r="D51" s="10"/>
      <c r="E51" s="10"/>
      <c r="F51" s="10"/>
      <c r="G51" s="17"/>
      <c r="H51" s="17"/>
      <c r="I51" s="17"/>
      <c r="J51" s="17"/>
      <c r="K51" s="17"/>
      <c r="L51" s="17"/>
      <c r="M51" s="17"/>
      <c r="N51" s="17" t="str">
        <f t="shared" si="1"/>
        <v/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/>
    </row>
    <row r="52" spans="1:27">
      <c r="A52" s="9"/>
      <c r="B52" s="10"/>
      <c r="C52" s="10"/>
      <c r="D52" s="10"/>
      <c r="E52" s="10"/>
      <c r="F52" s="10"/>
      <c r="G52" s="17"/>
      <c r="H52" s="17"/>
      <c r="I52" s="17"/>
      <c r="J52" s="17"/>
      <c r="K52" s="17"/>
      <c r="L52" s="17"/>
      <c r="M52" s="17"/>
      <c r="N52" s="17" t="str">
        <f t="shared" si="1"/>
        <v/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/>
    </row>
    <row r="53" spans="1:27">
      <c r="A53" s="9"/>
      <c r="B53" s="10"/>
      <c r="C53" s="10"/>
      <c r="D53" s="10"/>
      <c r="E53" s="10"/>
      <c r="F53" s="10"/>
      <c r="G53" s="17"/>
      <c r="H53" s="17"/>
      <c r="I53" s="17"/>
      <c r="J53" s="17"/>
      <c r="K53" s="17"/>
      <c r="L53" s="17"/>
      <c r="M53" s="17"/>
      <c r="N53" s="17" t="str">
        <f t="shared" si="1"/>
        <v/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/>
    </row>
    <row r="54" spans="1:27">
      <c r="A54" s="9"/>
      <c r="B54" s="10"/>
      <c r="C54" s="10"/>
      <c r="D54" s="10"/>
      <c r="E54" s="10"/>
      <c r="F54" s="10"/>
      <c r="G54" s="17"/>
      <c r="H54" s="17"/>
      <c r="I54" s="17"/>
      <c r="J54" s="17"/>
      <c r="K54" s="17"/>
      <c r="L54" s="17"/>
      <c r="M54" s="17"/>
      <c r="N54" s="17" t="str">
        <f t="shared" si="1"/>
        <v/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/>
    </row>
    <row r="55" spans="1:27">
      <c r="A55" s="9"/>
      <c r="B55" s="10"/>
      <c r="C55" s="10"/>
      <c r="D55" s="10"/>
      <c r="E55" s="10"/>
      <c r="F55" s="10"/>
      <c r="G55" s="17"/>
      <c r="H55" s="17"/>
      <c r="I55" s="17"/>
      <c r="J55" s="17"/>
      <c r="K55" s="17"/>
      <c r="L55" s="17"/>
      <c r="M55" s="17"/>
      <c r="N55" s="17" t="str">
        <f t="shared" si="1"/>
        <v/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</row>
    <row r="56" spans="1:27">
      <c r="A56" s="9"/>
      <c r="B56" s="10"/>
      <c r="C56" s="10"/>
      <c r="D56" s="10"/>
      <c r="E56" s="10"/>
      <c r="F56" s="10"/>
      <c r="G56" s="17"/>
      <c r="H56" s="17"/>
      <c r="I56" s="17"/>
      <c r="J56" s="17"/>
      <c r="K56" s="17"/>
      <c r="L56" s="17"/>
      <c r="M56" s="17"/>
      <c r="N56" s="17" t="str">
        <f t="shared" si="1"/>
        <v/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/>
    </row>
    <row r="57" spans="1:27">
      <c r="A57" s="9"/>
      <c r="B57" s="10"/>
      <c r="C57" s="10"/>
      <c r="D57" s="10"/>
      <c r="E57" s="10"/>
      <c r="F57" s="10"/>
      <c r="G57" s="17"/>
      <c r="H57" s="17"/>
      <c r="I57" s="17"/>
      <c r="J57" s="17"/>
      <c r="K57" s="17"/>
      <c r="L57" s="17"/>
      <c r="M57" s="17"/>
      <c r="N57" s="17" t="str">
        <f t="shared" si="1"/>
        <v/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/>
    </row>
    <row r="58" spans="1:27">
      <c r="A58" s="9"/>
      <c r="B58" s="10"/>
      <c r="C58" s="10"/>
      <c r="D58" s="10"/>
      <c r="E58" s="10"/>
      <c r="F58" s="10"/>
      <c r="G58" s="17"/>
      <c r="H58" s="17"/>
      <c r="I58" s="17"/>
      <c r="J58" s="17"/>
      <c r="K58" s="17"/>
      <c r="L58" s="17"/>
      <c r="M58" s="17"/>
      <c r="N58" s="17" t="str">
        <f t="shared" si="1"/>
        <v/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/>
    </row>
    <row r="59" spans="1:27">
      <c r="A59" s="9"/>
      <c r="B59" s="10"/>
      <c r="C59" s="10"/>
      <c r="D59" s="10"/>
      <c r="E59" s="10"/>
      <c r="F59" s="10"/>
      <c r="G59" s="17"/>
      <c r="H59" s="17"/>
      <c r="I59" s="17"/>
      <c r="J59" s="17"/>
      <c r="K59" s="17"/>
      <c r="L59" s="17"/>
      <c r="M59" s="17"/>
      <c r="N59" s="17" t="str">
        <f t="shared" si="1"/>
        <v/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/>
    </row>
    <row r="60" spans="1:27">
      <c r="A60" s="9"/>
      <c r="B60" s="10"/>
      <c r="C60" s="10"/>
      <c r="D60" s="10"/>
      <c r="E60" s="10"/>
      <c r="F60" s="10"/>
      <c r="G60" s="17"/>
      <c r="H60" s="17"/>
      <c r="I60" s="17"/>
      <c r="J60" s="17"/>
      <c r="K60" s="17"/>
      <c r="L60" s="17"/>
      <c r="M60" s="17"/>
      <c r="N60" s="17" t="str">
        <f t="shared" si="1"/>
        <v/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</row>
    <row r="61" spans="1:27">
      <c r="A61" s="9"/>
      <c r="B61" s="10"/>
      <c r="C61" s="10"/>
      <c r="D61" s="10"/>
      <c r="E61" s="10"/>
      <c r="F61" s="10"/>
      <c r="G61" s="17"/>
      <c r="H61" s="17"/>
      <c r="I61" s="17"/>
      <c r="J61" s="17"/>
      <c r="K61" s="17"/>
      <c r="L61" s="17"/>
      <c r="M61" s="17"/>
      <c r="N61" s="17" t="str">
        <f t="shared" si="1"/>
        <v/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/>
    </row>
    <row r="62" spans="1:27">
      <c r="A62" s="9"/>
      <c r="B62" s="10"/>
      <c r="C62" s="10"/>
      <c r="D62" s="10"/>
      <c r="E62" s="10"/>
      <c r="F62" s="10"/>
      <c r="G62" s="17"/>
      <c r="H62" s="17"/>
      <c r="I62" s="17"/>
      <c r="J62" s="17"/>
      <c r="K62" s="17"/>
      <c r="L62" s="17"/>
      <c r="M62" s="17"/>
      <c r="N62" s="17" t="str">
        <f t="shared" si="1"/>
        <v/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/>
    </row>
    <row r="63" spans="1:27">
      <c r="A63" s="9"/>
      <c r="B63" s="10"/>
      <c r="C63" s="10"/>
      <c r="D63" s="10"/>
      <c r="E63" s="10"/>
      <c r="F63" s="10"/>
      <c r="G63" s="17"/>
      <c r="H63" s="17"/>
      <c r="I63" s="17"/>
      <c r="J63" s="17"/>
      <c r="K63" s="17"/>
      <c r="L63" s="17"/>
      <c r="M63" s="17"/>
      <c r="N63" s="17" t="str">
        <f t="shared" si="1"/>
        <v/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</row>
    <row r="64" spans="1:27">
      <c r="A64" s="9"/>
      <c r="B64" s="10"/>
      <c r="C64" s="10"/>
      <c r="D64" s="10"/>
      <c r="E64" s="10"/>
      <c r="F64" s="10"/>
      <c r="G64" s="17"/>
      <c r="H64" s="17"/>
      <c r="I64" s="17"/>
      <c r="J64" s="17"/>
      <c r="K64" s="17"/>
      <c r="L64" s="17"/>
      <c r="M64" s="17"/>
      <c r="N64" s="17" t="str">
        <f t="shared" si="1"/>
        <v/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/>
    </row>
    <row r="65" spans="1:27">
      <c r="A65" s="9"/>
      <c r="B65" s="10"/>
      <c r="C65" s="10"/>
      <c r="D65" s="10"/>
      <c r="E65" s="10"/>
      <c r="F65" s="10"/>
      <c r="G65" s="17"/>
      <c r="H65" s="17"/>
      <c r="I65" s="17"/>
      <c r="J65" s="17"/>
      <c r="K65" s="17"/>
      <c r="L65" s="17"/>
      <c r="M65" s="17"/>
      <c r="N65" s="17" t="str">
        <f t="shared" si="1"/>
        <v/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/>
    </row>
    <row r="66" spans="1:27">
      <c r="A66" s="9"/>
      <c r="B66" s="10"/>
      <c r="C66" s="10"/>
      <c r="D66" s="10"/>
      <c r="E66" s="10"/>
      <c r="F66" s="10"/>
      <c r="G66" s="17"/>
      <c r="H66" s="17"/>
      <c r="I66" s="17"/>
      <c r="J66" s="17"/>
      <c r="K66" s="17"/>
      <c r="L66" s="17"/>
      <c r="M66" s="17"/>
      <c r="N66" s="17" t="str">
        <f t="shared" si="1"/>
        <v/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1"/>
    </row>
    <row r="67" spans="1:27">
      <c r="A67" s="9"/>
      <c r="B67" s="10"/>
      <c r="C67" s="10"/>
      <c r="D67" s="10"/>
      <c r="E67" s="10"/>
      <c r="F67" s="10"/>
      <c r="G67" s="17"/>
      <c r="H67" s="17"/>
      <c r="I67" s="17"/>
      <c r="J67" s="17"/>
      <c r="K67" s="17"/>
      <c r="L67" s="17"/>
      <c r="M67" s="17"/>
      <c r="N67" s="17" t="str">
        <f t="shared" si="1"/>
        <v/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/>
    </row>
    <row r="68" spans="1:27">
      <c r="A68" s="9"/>
      <c r="B68" s="10"/>
      <c r="C68" s="10"/>
      <c r="D68" s="10"/>
      <c r="E68" s="10"/>
      <c r="F68" s="10"/>
      <c r="G68" s="17"/>
      <c r="H68" s="17"/>
      <c r="I68" s="17"/>
      <c r="J68" s="17"/>
      <c r="K68" s="17"/>
      <c r="L68" s="17"/>
      <c r="M68" s="17"/>
      <c r="N68" s="17" t="str">
        <f t="shared" ref="N68:N99" si="2">IFERROR(I68/L68,"")</f>
        <v/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1"/>
    </row>
    <row r="69" spans="1:27">
      <c r="A69" s="9"/>
      <c r="B69" s="10"/>
      <c r="C69" s="10"/>
      <c r="D69" s="10"/>
      <c r="E69" s="10"/>
      <c r="F69" s="10"/>
      <c r="G69" s="17"/>
      <c r="H69" s="17"/>
      <c r="I69" s="17"/>
      <c r="J69" s="17"/>
      <c r="K69" s="17"/>
      <c r="L69" s="17"/>
      <c r="M69" s="17"/>
      <c r="N69" s="17" t="str">
        <f t="shared" si="2"/>
        <v/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/>
    </row>
    <row r="70" spans="1:27">
      <c r="A70" s="9"/>
      <c r="B70" s="10"/>
      <c r="C70" s="10"/>
      <c r="D70" s="10"/>
      <c r="E70" s="10"/>
      <c r="F70" s="10"/>
      <c r="G70" s="17"/>
      <c r="H70" s="17"/>
      <c r="I70" s="17"/>
      <c r="J70" s="17"/>
      <c r="K70" s="17"/>
      <c r="L70" s="17"/>
      <c r="M70" s="17"/>
      <c r="N70" s="17" t="str">
        <f t="shared" si="2"/>
        <v/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/>
    </row>
    <row r="71" spans="1:27">
      <c r="A71" s="9"/>
      <c r="B71" s="10"/>
      <c r="C71" s="10"/>
      <c r="D71" s="10"/>
      <c r="E71" s="10"/>
      <c r="F71" s="10"/>
      <c r="G71" s="17"/>
      <c r="H71" s="17"/>
      <c r="I71" s="17"/>
      <c r="J71" s="17"/>
      <c r="K71" s="17"/>
      <c r="L71" s="17"/>
      <c r="M71" s="17"/>
      <c r="N71" s="17" t="str">
        <f t="shared" si="2"/>
        <v/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/>
    </row>
    <row r="72" spans="1:27">
      <c r="A72" s="9"/>
      <c r="B72" s="10"/>
      <c r="C72" s="10"/>
      <c r="D72" s="10"/>
      <c r="E72" s="10"/>
      <c r="F72" s="10"/>
      <c r="G72" s="17"/>
      <c r="H72" s="17"/>
      <c r="I72" s="17"/>
      <c r="J72" s="17"/>
      <c r="K72" s="17"/>
      <c r="L72" s="17"/>
      <c r="M72" s="17"/>
      <c r="N72" s="17" t="str">
        <f t="shared" si="2"/>
        <v/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1"/>
    </row>
    <row r="73" spans="1:27">
      <c r="A73" s="9"/>
      <c r="B73" s="10"/>
      <c r="C73" s="10"/>
      <c r="D73" s="10"/>
      <c r="E73" s="10"/>
      <c r="F73" s="10"/>
      <c r="G73" s="17"/>
      <c r="H73" s="17"/>
      <c r="I73" s="17"/>
      <c r="J73" s="17"/>
      <c r="K73" s="17"/>
      <c r="L73" s="17"/>
      <c r="M73" s="17"/>
      <c r="N73" s="17" t="str">
        <f t="shared" si="2"/>
        <v/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/>
    </row>
    <row r="74" spans="1:27">
      <c r="A74" s="9"/>
      <c r="B74" s="10"/>
      <c r="C74" s="10"/>
      <c r="D74" s="10"/>
      <c r="E74" s="10"/>
      <c r="F74" s="10"/>
      <c r="G74" s="17"/>
      <c r="H74" s="17"/>
      <c r="I74" s="17"/>
      <c r="J74" s="17"/>
      <c r="K74" s="17"/>
      <c r="L74" s="17"/>
      <c r="M74" s="17"/>
      <c r="N74" s="17" t="str">
        <f t="shared" si="2"/>
        <v/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/>
    </row>
    <row r="75" spans="1:27">
      <c r="A75" s="9"/>
      <c r="B75" s="10"/>
      <c r="C75" s="10"/>
      <c r="D75" s="10"/>
      <c r="E75" s="10"/>
      <c r="F75" s="10"/>
      <c r="G75" s="17"/>
      <c r="H75" s="17"/>
      <c r="I75" s="17"/>
      <c r="J75" s="17"/>
      <c r="K75" s="17"/>
      <c r="L75" s="17"/>
      <c r="M75" s="17"/>
      <c r="N75" s="17" t="str">
        <f t="shared" si="2"/>
        <v/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</row>
    <row r="76" spans="1:27">
      <c r="A76" s="9"/>
      <c r="B76" s="10"/>
      <c r="C76" s="10"/>
      <c r="D76" s="10"/>
      <c r="E76" s="10"/>
      <c r="F76" s="10"/>
      <c r="G76" s="17"/>
      <c r="H76" s="17"/>
      <c r="I76" s="17"/>
      <c r="J76" s="17"/>
      <c r="K76" s="17"/>
      <c r="L76" s="17"/>
      <c r="M76" s="17"/>
      <c r="N76" s="17" t="str">
        <f t="shared" si="2"/>
        <v/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/>
    </row>
    <row r="77" spans="1:27">
      <c r="A77" s="9"/>
      <c r="B77" s="10"/>
      <c r="C77" s="10"/>
      <c r="D77" s="10"/>
      <c r="E77" s="10"/>
      <c r="F77" s="10"/>
      <c r="G77" s="17"/>
      <c r="H77" s="17"/>
      <c r="I77" s="17"/>
      <c r="J77" s="17"/>
      <c r="K77" s="17"/>
      <c r="L77" s="17"/>
      <c r="M77" s="17"/>
      <c r="N77" s="17" t="str">
        <f t="shared" si="2"/>
        <v/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/>
    </row>
    <row r="78" spans="1:27">
      <c r="A78" s="9"/>
      <c r="B78" s="10"/>
      <c r="C78" s="10"/>
      <c r="D78" s="10"/>
      <c r="E78" s="10"/>
      <c r="F78" s="10"/>
      <c r="G78" s="17"/>
      <c r="H78" s="17"/>
      <c r="I78" s="17"/>
      <c r="J78" s="17"/>
      <c r="K78" s="17"/>
      <c r="L78" s="17"/>
      <c r="M78" s="17"/>
      <c r="N78" s="17" t="str">
        <f t="shared" si="2"/>
        <v/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1"/>
    </row>
    <row r="79" spans="1:27">
      <c r="A79" s="9"/>
      <c r="B79" s="10"/>
      <c r="C79" s="10"/>
      <c r="D79" s="10"/>
      <c r="E79" s="10"/>
      <c r="F79" s="10"/>
      <c r="G79" s="17"/>
      <c r="H79" s="17"/>
      <c r="I79" s="17"/>
      <c r="J79" s="17"/>
      <c r="K79" s="17"/>
      <c r="L79" s="17"/>
      <c r="M79" s="17"/>
      <c r="N79" s="17" t="str">
        <f t="shared" si="2"/>
        <v/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/>
    </row>
    <row r="80" spans="1:27">
      <c r="A80" s="9"/>
      <c r="B80" s="10"/>
      <c r="C80" s="10"/>
      <c r="D80" s="10"/>
      <c r="E80" s="10"/>
      <c r="F80" s="10"/>
      <c r="G80" s="17"/>
      <c r="H80" s="17"/>
      <c r="I80" s="17"/>
      <c r="J80" s="17"/>
      <c r="K80" s="17"/>
      <c r="L80" s="17"/>
      <c r="M80" s="17"/>
      <c r="N80" s="17" t="str">
        <f t="shared" si="2"/>
        <v/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1"/>
    </row>
    <row r="81" spans="1:27">
      <c r="A81" s="9"/>
      <c r="B81" s="10"/>
      <c r="C81" s="10"/>
      <c r="D81" s="10"/>
      <c r="E81" s="10"/>
      <c r="F81" s="10"/>
      <c r="G81" s="17"/>
      <c r="H81" s="17"/>
      <c r="I81" s="17"/>
      <c r="J81" s="17"/>
      <c r="K81" s="17"/>
      <c r="L81" s="17"/>
      <c r="M81" s="17"/>
      <c r="N81" s="17" t="str">
        <f t="shared" si="2"/>
        <v/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/>
    </row>
    <row r="82" spans="1:27">
      <c r="A82" s="9"/>
      <c r="B82" s="10"/>
      <c r="C82" s="10"/>
      <c r="D82" s="10"/>
      <c r="E82" s="10"/>
      <c r="F82" s="10"/>
      <c r="G82" s="17"/>
      <c r="H82" s="17"/>
      <c r="I82" s="17"/>
      <c r="J82" s="17"/>
      <c r="K82" s="17"/>
      <c r="L82" s="17"/>
      <c r="M82" s="17"/>
      <c r="N82" s="17" t="str">
        <f t="shared" si="2"/>
        <v/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1"/>
    </row>
    <row r="83" spans="1:27">
      <c r="A83" s="9"/>
      <c r="B83" s="10"/>
      <c r="C83" s="10"/>
      <c r="D83" s="10"/>
      <c r="E83" s="10"/>
      <c r="F83" s="10"/>
      <c r="G83" s="17"/>
      <c r="H83" s="17"/>
      <c r="I83" s="17"/>
      <c r="J83" s="17"/>
      <c r="K83" s="17"/>
      <c r="L83" s="17"/>
      <c r="M83" s="17"/>
      <c r="N83" s="17" t="str">
        <f t="shared" si="2"/>
        <v/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/>
    </row>
    <row r="84" spans="1:27">
      <c r="A84" s="9"/>
      <c r="B84" s="10"/>
      <c r="C84" s="10"/>
      <c r="D84" s="10"/>
      <c r="E84" s="10"/>
      <c r="F84" s="10"/>
      <c r="G84" s="17"/>
      <c r="H84" s="17"/>
      <c r="I84" s="17"/>
      <c r="J84" s="17"/>
      <c r="K84" s="17"/>
      <c r="L84" s="17"/>
      <c r="M84" s="17"/>
      <c r="N84" s="17" t="str">
        <f t="shared" si="2"/>
        <v/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/>
    </row>
    <row r="85" spans="1:27">
      <c r="A85" s="9"/>
      <c r="B85" s="10"/>
      <c r="C85" s="10"/>
      <c r="D85" s="10"/>
      <c r="E85" s="10"/>
      <c r="F85" s="10"/>
      <c r="G85" s="17"/>
      <c r="H85" s="17"/>
      <c r="I85" s="17"/>
      <c r="J85" s="17"/>
      <c r="K85" s="17"/>
      <c r="L85" s="17"/>
      <c r="M85" s="17"/>
      <c r="N85" s="17" t="str">
        <f t="shared" si="2"/>
        <v/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/>
    </row>
    <row r="86" spans="1:27">
      <c r="A86" s="9"/>
      <c r="B86" s="10"/>
      <c r="C86" s="10"/>
      <c r="D86" s="10"/>
      <c r="E86" s="10"/>
      <c r="F86" s="10"/>
      <c r="G86" s="17"/>
      <c r="H86" s="17"/>
      <c r="I86" s="17"/>
      <c r="J86" s="17"/>
      <c r="K86" s="17"/>
      <c r="L86" s="17"/>
      <c r="M86" s="17"/>
      <c r="N86" s="17" t="str">
        <f t="shared" si="2"/>
        <v/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/>
    </row>
    <row r="87" spans="1:27">
      <c r="A87" s="9"/>
      <c r="B87" s="10"/>
      <c r="C87" s="10"/>
      <c r="D87" s="10"/>
      <c r="E87" s="10"/>
      <c r="F87" s="10"/>
      <c r="G87" s="17"/>
      <c r="H87" s="17"/>
      <c r="I87" s="17"/>
      <c r="J87" s="17"/>
      <c r="K87" s="17"/>
      <c r="L87" s="17"/>
      <c r="M87" s="17"/>
      <c r="N87" s="17" t="str">
        <f t="shared" si="2"/>
        <v/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/>
    </row>
    <row r="88" spans="1:27">
      <c r="A88" s="9"/>
      <c r="B88" s="10"/>
      <c r="C88" s="10"/>
      <c r="D88" s="10"/>
      <c r="E88" s="10"/>
      <c r="F88" s="10"/>
      <c r="G88" s="17"/>
      <c r="H88" s="17"/>
      <c r="I88" s="17"/>
      <c r="J88" s="17"/>
      <c r="K88" s="17"/>
      <c r="L88" s="17"/>
      <c r="M88" s="17"/>
      <c r="N88" s="17" t="str">
        <f t="shared" si="2"/>
        <v/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1"/>
    </row>
    <row r="89" spans="1:27">
      <c r="A89" s="9"/>
      <c r="B89" s="10"/>
      <c r="C89" s="10"/>
      <c r="D89" s="10"/>
      <c r="E89" s="10"/>
      <c r="F89" s="10"/>
      <c r="G89" s="17"/>
      <c r="H89" s="17"/>
      <c r="I89" s="17"/>
      <c r="J89" s="17"/>
      <c r="K89" s="17"/>
      <c r="L89" s="17"/>
      <c r="M89" s="17"/>
      <c r="N89" s="17" t="str">
        <f t="shared" si="2"/>
        <v/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/>
    </row>
    <row r="90" spans="1:27">
      <c r="A90" s="9"/>
      <c r="B90" s="10"/>
      <c r="C90" s="10"/>
      <c r="D90" s="10"/>
      <c r="E90" s="10"/>
      <c r="F90" s="10"/>
      <c r="G90" s="17"/>
      <c r="H90" s="17"/>
      <c r="I90" s="17"/>
      <c r="J90" s="17"/>
      <c r="K90" s="17"/>
      <c r="L90" s="17"/>
      <c r="M90" s="17"/>
      <c r="N90" s="17" t="str">
        <f t="shared" si="2"/>
        <v/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1"/>
    </row>
    <row r="91" spans="1:27">
      <c r="A91" s="9"/>
      <c r="B91" s="10"/>
      <c r="C91" s="10"/>
      <c r="D91" s="10"/>
      <c r="E91" s="10"/>
      <c r="F91" s="10"/>
      <c r="G91" s="17"/>
      <c r="H91" s="17"/>
      <c r="I91" s="17"/>
      <c r="J91" s="17"/>
      <c r="K91" s="17"/>
      <c r="L91" s="17"/>
      <c r="M91" s="17"/>
      <c r="N91" s="17" t="str">
        <f t="shared" si="2"/>
        <v/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/>
    </row>
    <row r="92" spans="1:27">
      <c r="A92" s="9"/>
      <c r="B92" s="10"/>
      <c r="C92" s="10"/>
      <c r="D92" s="10"/>
      <c r="E92" s="10"/>
      <c r="F92" s="10"/>
      <c r="G92" s="17"/>
      <c r="H92" s="17"/>
      <c r="I92" s="17"/>
      <c r="J92" s="17"/>
      <c r="K92" s="17"/>
      <c r="L92" s="17"/>
      <c r="M92" s="17"/>
      <c r="N92" s="17" t="str">
        <f t="shared" si="2"/>
        <v/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1"/>
    </row>
    <row r="93" spans="1:27">
      <c r="A93" s="9"/>
      <c r="B93" s="10"/>
      <c r="C93" s="10"/>
      <c r="D93" s="10"/>
      <c r="E93" s="10"/>
      <c r="F93" s="10"/>
      <c r="G93" s="17"/>
      <c r="H93" s="17"/>
      <c r="I93" s="17"/>
      <c r="J93" s="17"/>
      <c r="K93" s="17"/>
      <c r="L93" s="17"/>
      <c r="M93" s="17"/>
      <c r="N93" s="17" t="str">
        <f t="shared" si="2"/>
        <v/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/>
    </row>
    <row r="94" spans="1:27">
      <c r="A94" s="9"/>
      <c r="B94" s="10"/>
      <c r="C94" s="10"/>
      <c r="D94" s="10"/>
      <c r="E94" s="10"/>
      <c r="F94" s="10"/>
      <c r="G94" s="17"/>
      <c r="H94" s="17"/>
      <c r="I94" s="17"/>
      <c r="J94" s="17"/>
      <c r="K94" s="17"/>
      <c r="L94" s="17"/>
      <c r="M94" s="17"/>
      <c r="N94" s="17" t="str">
        <f t="shared" si="2"/>
        <v/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/>
    </row>
    <row r="95" spans="1:27">
      <c r="A95" s="9"/>
      <c r="B95" s="10"/>
      <c r="C95" s="10"/>
      <c r="D95" s="10"/>
      <c r="E95" s="10"/>
      <c r="F95" s="10"/>
      <c r="G95" s="17"/>
      <c r="H95" s="17"/>
      <c r="I95" s="17"/>
      <c r="J95" s="17"/>
      <c r="K95" s="17"/>
      <c r="L95" s="17"/>
      <c r="M95" s="17"/>
      <c r="N95" s="17" t="str">
        <f t="shared" si="2"/>
        <v/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/>
    </row>
    <row r="96" spans="1:27">
      <c r="A96" s="9"/>
      <c r="B96" s="10"/>
      <c r="C96" s="10"/>
      <c r="D96" s="10"/>
      <c r="E96" s="10"/>
      <c r="F96" s="10"/>
      <c r="G96" s="17"/>
      <c r="H96" s="17"/>
      <c r="I96" s="17"/>
      <c r="J96" s="17"/>
      <c r="K96" s="17"/>
      <c r="L96" s="17"/>
      <c r="M96" s="17"/>
      <c r="N96" s="17" t="str">
        <f t="shared" si="2"/>
        <v/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1"/>
    </row>
    <row r="97" spans="1:27">
      <c r="A97" s="9"/>
      <c r="B97" s="10"/>
      <c r="C97" s="10"/>
      <c r="D97" s="10"/>
      <c r="E97" s="10"/>
      <c r="F97" s="10"/>
      <c r="G97" s="17"/>
      <c r="H97" s="17"/>
      <c r="I97" s="17"/>
      <c r="J97" s="17"/>
      <c r="K97" s="17"/>
      <c r="L97" s="17"/>
      <c r="M97" s="17"/>
      <c r="N97" s="17" t="str">
        <f t="shared" si="2"/>
        <v/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/>
    </row>
    <row r="98" spans="1:27">
      <c r="A98" s="9"/>
      <c r="B98" s="10"/>
      <c r="C98" s="10"/>
      <c r="D98" s="10"/>
      <c r="E98" s="10"/>
      <c r="F98" s="10"/>
      <c r="G98" s="17"/>
      <c r="H98" s="17"/>
      <c r="I98" s="17"/>
      <c r="J98" s="17"/>
      <c r="K98" s="17"/>
      <c r="L98" s="17"/>
      <c r="M98" s="17"/>
      <c r="N98" s="17" t="str">
        <f t="shared" si="2"/>
        <v/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1"/>
    </row>
    <row r="99" spans="1:27">
      <c r="A99" s="9"/>
      <c r="B99" s="10"/>
      <c r="C99" s="10"/>
      <c r="D99" s="10"/>
      <c r="E99" s="10"/>
      <c r="F99" s="10"/>
      <c r="G99" s="17"/>
      <c r="H99" s="17"/>
      <c r="I99" s="17"/>
      <c r="J99" s="17"/>
      <c r="K99" s="17"/>
      <c r="L99" s="17"/>
      <c r="M99" s="17"/>
      <c r="N99" s="17" t="str">
        <f t="shared" si="2"/>
        <v/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/>
    </row>
    <row r="100" spans="1:27">
      <c r="A100" s="9"/>
      <c r="B100" s="10"/>
      <c r="C100" s="10"/>
      <c r="D100" s="10"/>
      <c r="E100" s="10"/>
      <c r="F100" s="10"/>
      <c r="G100" s="17"/>
      <c r="H100" s="17"/>
      <c r="I100" s="17"/>
      <c r="J100" s="17"/>
      <c r="K100" s="17"/>
      <c r="L100" s="17"/>
      <c r="M100" s="17"/>
      <c r="N100" s="17" t="str">
        <f t="shared" ref="N100:N131" si="3">IFERROR(I100/L100,"")</f>
        <v/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1"/>
    </row>
    <row r="101" spans="1:27">
      <c r="A101" s="9"/>
      <c r="B101" s="10"/>
      <c r="C101" s="10"/>
      <c r="D101" s="10"/>
      <c r="E101" s="10"/>
      <c r="F101" s="10"/>
      <c r="G101" s="17"/>
      <c r="H101" s="17"/>
      <c r="I101" s="17"/>
      <c r="J101" s="17"/>
      <c r="K101" s="17"/>
      <c r="L101" s="17"/>
      <c r="M101" s="17"/>
      <c r="N101" s="17" t="str">
        <f t="shared" si="3"/>
        <v/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/>
    </row>
    <row r="102" spans="1:27">
      <c r="A102" s="9"/>
      <c r="B102" s="10"/>
      <c r="C102" s="10"/>
      <c r="D102" s="10"/>
      <c r="E102" s="10"/>
      <c r="F102" s="10"/>
      <c r="G102" s="17"/>
      <c r="H102" s="17"/>
      <c r="I102" s="17"/>
      <c r="J102" s="17"/>
      <c r="K102" s="17"/>
      <c r="L102" s="17"/>
      <c r="M102" s="17"/>
      <c r="N102" s="17" t="str">
        <f t="shared" si="3"/>
        <v/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1"/>
    </row>
    <row r="103" spans="1:27">
      <c r="A103" s="9"/>
      <c r="B103" s="10"/>
      <c r="C103" s="10"/>
      <c r="D103" s="10"/>
      <c r="E103" s="10"/>
      <c r="F103" s="10"/>
      <c r="G103" s="17"/>
      <c r="H103" s="17"/>
      <c r="I103" s="17"/>
      <c r="J103" s="17"/>
      <c r="K103" s="17"/>
      <c r="L103" s="17"/>
      <c r="M103" s="17"/>
      <c r="N103" s="17" t="str">
        <f t="shared" si="3"/>
        <v/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/>
    </row>
    <row r="104" spans="1:27">
      <c r="A104" s="9"/>
      <c r="B104" s="10"/>
      <c r="C104" s="10"/>
      <c r="D104" s="10"/>
      <c r="E104" s="10"/>
      <c r="F104" s="10"/>
      <c r="G104" s="17"/>
      <c r="H104" s="17"/>
      <c r="I104" s="17"/>
      <c r="J104" s="17"/>
      <c r="K104" s="17"/>
      <c r="L104" s="17"/>
      <c r="M104" s="17"/>
      <c r="N104" s="17" t="str">
        <f t="shared" si="3"/>
        <v/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1"/>
    </row>
    <row r="105" spans="1:27">
      <c r="A105" s="9"/>
      <c r="B105" s="10"/>
      <c r="C105" s="10"/>
      <c r="D105" s="10"/>
      <c r="E105" s="10"/>
      <c r="F105" s="10"/>
      <c r="G105" s="17"/>
      <c r="H105" s="17"/>
      <c r="I105" s="17"/>
      <c r="J105" s="17"/>
      <c r="K105" s="17"/>
      <c r="L105" s="17"/>
      <c r="M105" s="17"/>
      <c r="N105" s="17" t="str">
        <f t="shared" si="3"/>
        <v/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/>
    </row>
    <row r="106" spans="1:27">
      <c r="A106" s="9"/>
      <c r="B106" s="10"/>
      <c r="C106" s="10"/>
      <c r="D106" s="10"/>
      <c r="E106" s="10"/>
      <c r="F106" s="10"/>
      <c r="G106" s="17"/>
      <c r="H106" s="17"/>
      <c r="I106" s="17"/>
      <c r="J106" s="17"/>
      <c r="K106" s="17"/>
      <c r="L106" s="17"/>
      <c r="M106" s="17"/>
      <c r="N106" s="17" t="str">
        <f t="shared" si="3"/>
        <v/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1"/>
    </row>
    <row r="107" spans="1:27">
      <c r="A107" s="9"/>
      <c r="B107" s="10"/>
      <c r="C107" s="10"/>
      <c r="D107" s="10"/>
      <c r="E107" s="10"/>
      <c r="F107" s="10"/>
      <c r="G107" s="17"/>
      <c r="H107" s="17"/>
      <c r="I107" s="17"/>
      <c r="J107" s="17"/>
      <c r="K107" s="17"/>
      <c r="L107" s="17"/>
      <c r="M107" s="17"/>
      <c r="N107" s="17" t="str">
        <f t="shared" si="3"/>
        <v/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/>
    </row>
    <row r="108" spans="1:27">
      <c r="A108" s="9"/>
      <c r="B108" s="10"/>
      <c r="C108" s="10"/>
      <c r="D108" s="10"/>
      <c r="E108" s="10"/>
      <c r="F108" s="10"/>
      <c r="G108" s="17"/>
      <c r="H108" s="17"/>
      <c r="I108" s="17"/>
      <c r="J108" s="17"/>
      <c r="K108" s="17"/>
      <c r="L108" s="17"/>
      <c r="M108" s="17"/>
      <c r="N108" s="17" t="str">
        <f t="shared" si="3"/>
        <v/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1"/>
    </row>
    <row r="109" spans="1:27">
      <c r="A109" s="9"/>
      <c r="B109" s="10"/>
      <c r="C109" s="10"/>
      <c r="D109" s="10"/>
      <c r="E109" s="10"/>
      <c r="F109" s="10"/>
      <c r="G109" s="17"/>
      <c r="H109" s="17"/>
      <c r="I109" s="17"/>
      <c r="J109" s="17"/>
      <c r="K109" s="17"/>
      <c r="L109" s="17"/>
      <c r="M109" s="17"/>
      <c r="N109" s="17" t="str">
        <f t="shared" si="3"/>
        <v/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1"/>
    </row>
    <row r="110" spans="1:27">
      <c r="A110" s="9"/>
      <c r="B110" s="10"/>
      <c r="C110" s="10"/>
      <c r="D110" s="10"/>
      <c r="E110" s="10"/>
      <c r="F110" s="10"/>
      <c r="G110" s="17"/>
      <c r="H110" s="17"/>
      <c r="I110" s="17"/>
      <c r="J110" s="17"/>
      <c r="K110" s="17"/>
      <c r="L110" s="17"/>
      <c r="M110" s="17"/>
      <c r="N110" s="17" t="str">
        <f t="shared" si="3"/>
        <v/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/>
    </row>
    <row r="111" spans="1:27">
      <c r="A111" s="9"/>
      <c r="B111" s="10"/>
      <c r="C111" s="10"/>
      <c r="D111" s="10"/>
      <c r="E111" s="10"/>
      <c r="F111" s="10"/>
      <c r="G111" s="17"/>
      <c r="H111" s="17"/>
      <c r="I111" s="17"/>
      <c r="J111" s="17"/>
      <c r="K111" s="17"/>
      <c r="L111" s="17"/>
      <c r="M111" s="17"/>
      <c r="N111" s="17" t="str">
        <f t="shared" si="3"/>
        <v/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1"/>
    </row>
    <row r="112" spans="1:27">
      <c r="A112" s="9"/>
      <c r="B112" s="10"/>
      <c r="C112" s="10"/>
      <c r="D112" s="10"/>
      <c r="E112" s="10"/>
      <c r="F112" s="10"/>
      <c r="G112" s="17"/>
      <c r="H112" s="17"/>
      <c r="I112" s="17"/>
      <c r="J112" s="17"/>
      <c r="K112" s="17"/>
      <c r="L112" s="17"/>
      <c r="M112" s="17"/>
      <c r="N112" s="17" t="str">
        <f t="shared" si="3"/>
        <v/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1"/>
    </row>
    <row r="113" spans="1:27">
      <c r="A113" s="9"/>
      <c r="B113" s="10"/>
      <c r="C113" s="10"/>
      <c r="D113" s="10"/>
      <c r="E113" s="10"/>
      <c r="F113" s="10"/>
      <c r="G113" s="17"/>
      <c r="H113" s="17"/>
      <c r="I113" s="17"/>
      <c r="J113" s="17"/>
      <c r="K113" s="17"/>
      <c r="L113" s="17"/>
      <c r="M113" s="17"/>
      <c r="N113" s="17" t="str">
        <f t="shared" si="3"/>
        <v/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1"/>
    </row>
    <row r="114" spans="1:27">
      <c r="A114" s="9"/>
      <c r="B114" s="10"/>
      <c r="C114" s="10"/>
      <c r="D114" s="10"/>
      <c r="E114" s="10"/>
      <c r="F114" s="10"/>
      <c r="G114" s="17"/>
      <c r="H114" s="17"/>
      <c r="I114" s="17"/>
      <c r="J114" s="17"/>
      <c r="K114" s="17"/>
      <c r="L114" s="17"/>
      <c r="M114" s="17"/>
      <c r="N114" s="17" t="str">
        <f t="shared" si="3"/>
        <v/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1"/>
    </row>
    <row r="115" spans="1:27">
      <c r="A115" s="9"/>
      <c r="B115" s="10"/>
      <c r="C115" s="10"/>
      <c r="D115" s="10"/>
      <c r="E115" s="10"/>
      <c r="F115" s="10"/>
      <c r="G115" s="17"/>
      <c r="H115" s="17"/>
      <c r="I115" s="17"/>
      <c r="J115" s="17"/>
      <c r="K115" s="17"/>
      <c r="L115" s="17"/>
      <c r="M115" s="17"/>
      <c r="N115" s="17" t="str">
        <f t="shared" si="3"/>
        <v/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1"/>
    </row>
    <row r="116" spans="1:27">
      <c r="A116" s="9"/>
      <c r="B116" s="10"/>
      <c r="C116" s="10"/>
      <c r="D116" s="10"/>
      <c r="E116" s="10"/>
      <c r="F116" s="10"/>
      <c r="G116" s="17"/>
      <c r="H116" s="17"/>
      <c r="I116" s="17"/>
      <c r="J116" s="17"/>
      <c r="K116" s="17"/>
      <c r="L116" s="17"/>
      <c r="M116" s="17"/>
      <c r="N116" s="17" t="str">
        <f t="shared" si="3"/>
        <v/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/>
    </row>
    <row r="117" spans="1:27">
      <c r="A117" s="9"/>
      <c r="B117" s="10"/>
      <c r="C117" s="10"/>
      <c r="D117" s="10"/>
      <c r="E117" s="10"/>
      <c r="F117" s="10"/>
      <c r="G117" s="17"/>
      <c r="H117" s="17"/>
      <c r="I117" s="17"/>
      <c r="J117" s="17"/>
      <c r="K117" s="17"/>
      <c r="L117" s="17"/>
      <c r="M117" s="17"/>
      <c r="N117" s="17" t="str">
        <f t="shared" si="3"/>
        <v/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1"/>
    </row>
    <row r="118" spans="1:27">
      <c r="A118" s="9"/>
      <c r="B118" s="10"/>
      <c r="C118" s="10"/>
      <c r="D118" s="10"/>
      <c r="E118" s="10"/>
      <c r="F118" s="10"/>
      <c r="G118" s="17"/>
      <c r="H118" s="17"/>
      <c r="I118" s="17"/>
      <c r="J118" s="17"/>
      <c r="K118" s="17"/>
      <c r="L118" s="17"/>
      <c r="M118" s="17"/>
      <c r="N118" s="17" t="str">
        <f t="shared" si="3"/>
        <v/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1"/>
    </row>
    <row r="119" spans="1:27">
      <c r="A119" s="9"/>
      <c r="B119" s="10"/>
      <c r="C119" s="10"/>
      <c r="D119" s="10"/>
      <c r="E119" s="10"/>
      <c r="F119" s="10"/>
      <c r="G119" s="17"/>
      <c r="H119" s="17"/>
      <c r="I119" s="17"/>
      <c r="J119" s="17"/>
      <c r="K119" s="17"/>
      <c r="L119" s="17"/>
      <c r="M119" s="17"/>
      <c r="N119" s="17" t="str">
        <f t="shared" si="3"/>
        <v/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1"/>
    </row>
    <row r="120" spans="1:27">
      <c r="A120" s="9"/>
      <c r="B120" s="10"/>
      <c r="C120" s="10"/>
      <c r="D120" s="10"/>
      <c r="E120" s="10"/>
      <c r="F120" s="10"/>
      <c r="G120" s="17"/>
      <c r="H120" s="17"/>
      <c r="I120" s="17"/>
      <c r="J120" s="17"/>
      <c r="K120" s="17"/>
      <c r="L120" s="17"/>
      <c r="M120" s="17"/>
      <c r="N120" s="17" t="str">
        <f t="shared" si="3"/>
        <v/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1"/>
    </row>
    <row r="121" spans="1:27">
      <c r="A121" s="9"/>
      <c r="B121" s="10"/>
      <c r="C121" s="10"/>
      <c r="D121" s="10"/>
      <c r="E121" s="10"/>
      <c r="F121" s="10"/>
      <c r="G121" s="17"/>
      <c r="H121" s="17"/>
      <c r="I121" s="17"/>
      <c r="J121" s="17"/>
      <c r="K121" s="17"/>
      <c r="L121" s="17"/>
      <c r="M121" s="17"/>
      <c r="N121" s="17" t="str">
        <f t="shared" si="3"/>
        <v/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1"/>
    </row>
    <row r="122" spans="1:27">
      <c r="A122" s="9"/>
      <c r="B122" s="10"/>
      <c r="C122" s="10"/>
      <c r="D122" s="10"/>
      <c r="E122" s="10"/>
      <c r="F122" s="10"/>
      <c r="G122" s="17"/>
      <c r="H122" s="17"/>
      <c r="I122" s="17"/>
      <c r="J122" s="17"/>
      <c r="K122" s="17"/>
      <c r="L122" s="17"/>
      <c r="M122" s="17"/>
      <c r="N122" s="17" t="str">
        <f t="shared" si="3"/>
        <v/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1"/>
    </row>
    <row r="123" spans="1:27">
      <c r="A123" s="9"/>
      <c r="B123" s="10"/>
      <c r="C123" s="10"/>
      <c r="D123" s="10"/>
      <c r="E123" s="10"/>
      <c r="F123" s="10"/>
      <c r="G123" s="17"/>
      <c r="H123" s="17"/>
      <c r="I123" s="17"/>
      <c r="J123" s="17"/>
      <c r="K123" s="17"/>
      <c r="L123" s="17"/>
      <c r="M123" s="17"/>
      <c r="N123" s="17" t="str">
        <f t="shared" si="3"/>
        <v/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1"/>
    </row>
    <row r="124" spans="1:27">
      <c r="A124" s="9"/>
      <c r="B124" s="10"/>
      <c r="C124" s="10"/>
      <c r="D124" s="10"/>
      <c r="E124" s="10"/>
      <c r="F124" s="10"/>
      <c r="G124" s="17"/>
      <c r="H124" s="17"/>
      <c r="I124" s="17"/>
      <c r="J124" s="17"/>
      <c r="K124" s="17"/>
      <c r="L124" s="17"/>
      <c r="M124" s="17"/>
      <c r="N124" s="17" t="str">
        <f t="shared" si="3"/>
        <v/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1"/>
    </row>
    <row r="125" spans="1:27">
      <c r="A125" s="9"/>
      <c r="B125" s="10"/>
      <c r="C125" s="10"/>
      <c r="D125" s="10"/>
      <c r="E125" s="10"/>
      <c r="F125" s="10"/>
      <c r="G125" s="17"/>
      <c r="H125" s="17"/>
      <c r="I125" s="17"/>
      <c r="J125" s="17"/>
      <c r="K125" s="17"/>
      <c r="L125" s="17"/>
      <c r="M125" s="17"/>
      <c r="N125" s="17" t="str">
        <f t="shared" si="3"/>
        <v/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1"/>
    </row>
    <row r="126" spans="1:27">
      <c r="A126" s="9"/>
      <c r="B126" s="10"/>
      <c r="C126" s="10"/>
      <c r="D126" s="10"/>
      <c r="E126" s="10"/>
      <c r="F126" s="10"/>
      <c r="G126" s="17"/>
      <c r="H126" s="17"/>
      <c r="I126" s="17"/>
      <c r="J126" s="17"/>
      <c r="K126" s="17"/>
      <c r="L126" s="17"/>
      <c r="M126" s="17"/>
      <c r="N126" s="17" t="str">
        <f t="shared" si="3"/>
        <v/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1"/>
    </row>
    <row r="127" spans="1:27">
      <c r="A127" s="9"/>
      <c r="B127" s="10"/>
      <c r="C127" s="10"/>
      <c r="D127" s="10"/>
      <c r="E127" s="10"/>
      <c r="F127" s="10"/>
      <c r="G127" s="17"/>
      <c r="H127" s="17"/>
      <c r="I127" s="17"/>
      <c r="J127" s="17"/>
      <c r="K127" s="17"/>
      <c r="L127" s="17"/>
      <c r="M127" s="17"/>
      <c r="N127" s="17" t="str">
        <f t="shared" si="3"/>
        <v/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1"/>
    </row>
    <row r="128" spans="1:27">
      <c r="A128" s="9"/>
      <c r="B128" s="10"/>
      <c r="C128" s="10"/>
      <c r="D128" s="10"/>
      <c r="E128" s="10"/>
      <c r="F128" s="10"/>
      <c r="G128" s="17"/>
      <c r="H128" s="17"/>
      <c r="I128" s="17"/>
      <c r="J128" s="17"/>
      <c r="K128" s="17"/>
      <c r="L128" s="17"/>
      <c r="M128" s="17"/>
      <c r="N128" s="17" t="str">
        <f t="shared" si="3"/>
        <v/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1"/>
    </row>
    <row r="129" spans="1:27">
      <c r="A129" s="9"/>
      <c r="B129" s="10"/>
      <c r="C129" s="10"/>
      <c r="D129" s="10"/>
      <c r="E129" s="10"/>
      <c r="F129" s="10"/>
      <c r="G129" s="17"/>
      <c r="H129" s="17"/>
      <c r="I129" s="17"/>
      <c r="J129" s="17"/>
      <c r="K129" s="17"/>
      <c r="L129" s="17"/>
      <c r="M129" s="17"/>
      <c r="N129" s="17" t="str">
        <f t="shared" si="3"/>
        <v/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1"/>
    </row>
    <row r="130" spans="1:27">
      <c r="A130" s="9"/>
      <c r="B130" s="10"/>
      <c r="C130" s="10"/>
      <c r="D130" s="10"/>
      <c r="E130" s="10"/>
      <c r="F130" s="10"/>
      <c r="G130" s="17"/>
      <c r="H130" s="17"/>
      <c r="I130" s="17"/>
      <c r="J130" s="17"/>
      <c r="K130" s="17"/>
      <c r="L130" s="17"/>
      <c r="M130" s="17"/>
      <c r="N130" s="17" t="str">
        <f t="shared" si="3"/>
        <v/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1"/>
    </row>
    <row r="131" spans="1:27">
      <c r="A131" s="9"/>
      <c r="B131" s="10"/>
      <c r="C131" s="10"/>
      <c r="D131" s="10"/>
      <c r="E131" s="10"/>
      <c r="F131" s="10"/>
      <c r="G131" s="17"/>
      <c r="H131" s="17"/>
      <c r="I131" s="17"/>
      <c r="J131" s="17"/>
      <c r="K131" s="17"/>
      <c r="L131" s="17"/>
      <c r="M131" s="17"/>
      <c r="N131" s="17" t="str">
        <f t="shared" si="3"/>
        <v/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1"/>
    </row>
    <row r="132" spans="1:27">
      <c r="A132" s="9"/>
      <c r="B132" s="10"/>
      <c r="C132" s="10"/>
      <c r="D132" s="10"/>
      <c r="E132" s="10"/>
      <c r="F132" s="10"/>
      <c r="G132" s="17"/>
      <c r="H132" s="17"/>
      <c r="I132" s="17"/>
      <c r="J132" s="17"/>
      <c r="K132" s="17"/>
      <c r="L132" s="17"/>
      <c r="M132" s="17"/>
      <c r="N132" s="17" t="str">
        <f t="shared" ref="N132:N163" si="4">IFERROR(I132/L132,"")</f>
        <v/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1"/>
    </row>
    <row r="133" spans="1:27">
      <c r="A133" s="9"/>
      <c r="B133" s="10"/>
      <c r="C133" s="10"/>
      <c r="D133" s="10"/>
      <c r="E133" s="10"/>
      <c r="F133" s="10"/>
      <c r="G133" s="17"/>
      <c r="H133" s="17"/>
      <c r="I133" s="17"/>
      <c r="J133" s="17"/>
      <c r="K133" s="17"/>
      <c r="L133" s="17"/>
      <c r="M133" s="17"/>
      <c r="N133" s="17" t="str">
        <f t="shared" si="4"/>
        <v/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1"/>
    </row>
    <row r="134" spans="1:27">
      <c r="A134" s="9"/>
      <c r="B134" s="10"/>
      <c r="C134" s="10"/>
      <c r="D134" s="10"/>
      <c r="E134" s="10"/>
      <c r="F134" s="10"/>
      <c r="G134" s="17"/>
      <c r="H134" s="17"/>
      <c r="I134" s="17"/>
      <c r="J134" s="17"/>
      <c r="K134" s="17"/>
      <c r="L134" s="17"/>
      <c r="M134" s="17"/>
      <c r="N134" s="17" t="str">
        <f t="shared" si="4"/>
        <v/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1"/>
    </row>
    <row r="135" spans="1:27">
      <c r="A135" s="9"/>
      <c r="B135" s="10"/>
      <c r="C135" s="10"/>
      <c r="D135" s="10"/>
      <c r="E135" s="10"/>
      <c r="F135" s="10"/>
      <c r="G135" s="17"/>
      <c r="H135" s="17"/>
      <c r="I135" s="17"/>
      <c r="J135" s="17"/>
      <c r="K135" s="17"/>
      <c r="L135" s="17"/>
      <c r="M135" s="17"/>
      <c r="N135" s="17" t="str">
        <f t="shared" si="4"/>
        <v/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1"/>
    </row>
    <row r="136" spans="1:27">
      <c r="A136" s="9"/>
      <c r="B136" s="10"/>
      <c r="C136" s="10"/>
      <c r="D136" s="10"/>
      <c r="E136" s="10"/>
      <c r="F136" s="10"/>
      <c r="G136" s="17"/>
      <c r="H136" s="17"/>
      <c r="I136" s="17"/>
      <c r="J136" s="17"/>
      <c r="K136" s="17"/>
      <c r="L136" s="17"/>
      <c r="M136" s="17"/>
      <c r="N136" s="17" t="str">
        <f t="shared" si="4"/>
        <v/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1"/>
    </row>
    <row r="137" spans="1:27">
      <c r="A137" s="9"/>
      <c r="B137" s="10"/>
      <c r="C137" s="10"/>
      <c r="D137" s="10"/>
      <c r="E137" s="10"/>
      <c r="F137" s="10"/>
      <c r="G137" s="17"/>
      <c r="H137" s="17"/>
      <c r="I137" s="17"/>
      <c r="J137" s="17"/>
      <c r="K137" s="17"/>
      <c r="L137" s="17"/>
      <c r="M137" s="17"/>
      <c r="N137" s="17" t="str">
        <f t="shared" si="4"/>
        <v/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1"/>
    </row>
    <row r="138" spans="1:27">
      <c r="A138" s="9"/>
      <c r="B138" s="10"/>
      <c r="C138" s="10"/>
      <c r="D138" s="10"/>
      <c r="E138" s="10"/>
      <c r="F138" s="10"/>
      <c r="G138" s="17"/>
      <c r="H138" s="17"/>
      <c r="I138" s="17"/>
      <c r="J138" s="17"/>
      <c r="K138" s="17"/>
      <c r="L138" s="17"/>
      <c r="M138" s="17"/>
      <c r="N138" s="17" t="str">
        <f t="shared" si="4"/>
        <v/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1"/>
    </row>
    <row r="139" spans="1:27">
      <c r="A139" s="9"/>
      <c r="B139" s="10"/>
      <c r="C139" s="10"/>
      <c r="D139" s="10"/>
      <c r="E139" s="10"/>
      <c r="F139" s="10"/>
      <c r="G139" s="17"/>
      <c r="H139" s="17"/>
      <c r="I139" s="17"/>
      <c r="J139" s="17"/>
      <c r="K139" s="17"/>
      <c r="L139" s="17"/>
      <c r="M139" s="17"/>
      <c r="N139" s="17" t="str">
        <f t="shared" si="4"/>
        <v/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1"/>
    </row>
    <row r="140" spans="1:27">
      <c r="A140" s="9"/>
      <c r="B140" s="10"/>
      <c r="C140" s="10"/>
      <c r="D140" s="10"/>
      <c r="E140" s="10"/>
      <c r="F140" s="10"/>
      <c r="G140" s="17"/>
      <c r="H140" s="17"/>
      <c r="I140" s="17"/>
      <c r="J140" s="17"/>
      <c r="K140" s="17"/>
      <c r="L140" s="17"/>
      <c r="M140" s="17"/>
      <c r="N140" s="17" t="str">
        <f t="shared" si="4"/>
        <v/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1"/>
    </row>
    <row r="141" spans="1:27">
      <c r="A141" s="9"/>
      <c r="B141" s="10"/>
      <c r="C141" s="10"/>
      <c r="D141" s="10"/>
      <c r="E141" s="10"/>
      <c r="F141" s="10"/>
      <c r="G141" s="17"/>
      <c r="H141" s="17"/>
      <c r="I141" s="17"/>
      <c r="J141" s="17"/>
      <c r="K141" s="17"/>
      <c r="L141" s="17"/>
      <c r="M141" s="17"/>
      <c r="N141" s="17" t="str">
        <f t="shared" si="4"/>
        <v/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1"/>
    </row>
    <row r="142" spans="1:27">
      <c r="A142" s="9"/>
      <c r="B142" s="10"/>
      <c r="C142" s="10"/>
      <c r="D142" s="10"/>
      <c r="E142" s="10"/>
      <c r="F142" s="10"/>
      <c r="G142" s="17"/>
      <c r="H142" s="17"/>
      <c r="I142" s="17"/>
      <c r="J142" s="17"/>
      <c r="K142" s="17"/>
      <c r="L142" s="17"/>
      <c r="M142" s="17"/>
      <c r="N142" s="17" t="str">
        <f t="shared" si="4"/>
        <v/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1"/>
    </row>
    <row r="143" spans="1:27">
      <c r="A143" s="9"/>
      <c r="B143" s="10"/>
      <c r="C143" s="10"/>
      <c r="D143" s="10"/>
      <c r="E143" s="10"/>
      <c r="F143" s="10"/>
      <c r="G143" s="17"/>
      <c r="H143" s="17"/>
      <c r="I143" s="17"/>
      <c r="J143" s="17"/>
      <c r="K143" s="17"/>
      <c r="L143" s="17"/>
      <c r="M143" s="17"/>
      <c r="N143" s="17" t="str">
        <f t="shared" si="4"/>
        <v/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1"/>
    </row>
    <row r="144" spans="1:27">
      <c r="A144" s="9"/>
      <c r="B144" s="10"/>
      <c r="C144" s="10"/>
      <c r="D144" s="10"/>
      <c r="E144" s="10"/>
      <c r="F144" s="10"/>
      <c r="G144" s="17"/>
      <c r="H144" s="17"/>
      <c r="I144" s="17"/>
      <c r="J144" s="17"/>
      <c r="K144" s="17"/>
      <c r="L144" s="17"/>
      <c r="M144" s="17"/>
      <c r="N144" s="17" t="str">
        <f t="shared" si="4"/>
        <v/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1"/>
    </row>
    <row r="145" spans="1:27">
      <c r="A145" s="9"/>
      <c r="B145" s="10"/>
      <c r="C145" s="10"/>
      <c r="D145" s="10"/>
      <c r="E145" s="10"/>
      <c r="F145" s="10"/>
      <c r="G145" s="17"/>
      <c r="H145" s="17"/>
      <c r="I145" s="17"/>
      <c r="J145" s="17"/>
      <c r="K145" s="17"/>
      <c r="L145" s="17"/>
      <c r="M145" s="17"/>
      <c r="N145" s="17" t="str">
        <f t="shared" si="4"/>
        <v/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1"/>
    </row>
    <row r="146" spans="1:27">
      <c r="A146" s="9"/>
      <c r="B146" s="10"/>
      <c r="C146" s="10"/>
      <c r="D146" s="10"/>
      <c r="E146" s="10"/>
      <c r="F146" s="10"/>
      <c r="G146" s="17"/>
      <c r="H146" s="17"/>
      <c r="I146" s="17"/>
      <c r="J146" s="17"/>
      <c r="K146" s="17"/>
      <c r="L146" s="17"/>
      <c r="M146" s="17"/>
      <c r="N146" s="17" t="str">
        <f t="shared" si="4"/>
        <v/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1"/>
    </row>
    <row r="147" spans="1:27">
      <c r="A147" s="9"/>
      <c r="B147" s="10"/>
      <c r="C147" s="10"/>
      <c r="D147" s="10"/>
      <c r="E147" s="10"/>
      <c r="F147" s="10"/>
      <c r="G147" s="17"/>
      <c r="H147" s="17"/>
      <c r="I147" s="17"/>
      <c r="J147" s="17"/>
      <c r="K147" s="17"/>
      <c r="L147" s="17"/>
      <c r="M147" s="17"/>
      <c r="N147" s="17" t="str">
        <f t="shared" si="4"/>
        <v/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1"/>
    </row>
    <row r="148" spans="1:27">
      <c r="A148" s="9"/>
      <c r="B148" s="10"/>
      <c r="C148" s="10"/>
      <c r="D148" s="10"/>
      <c r="E148" s="10"/>
      <c r="F148" s="10"/>
      <c r="G148" s="17"/>
      <c r="H148" s="17"/>
      <c r="I148" s="17"/>
      <c r="J148" s="17"/>
      <c r="K148" s="17"/>
      <c r="L148" s="17"/>
      <c r="M148" s="17"/>
      <c r="N148" s="17" t="str">
        <f t="shared" si="4"/>
        <v/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1"/>
    </row>
    <row r="149" spans="1:27">
      <c r="A149" s="9"/>
      <c r="B149" s="10"/>
      <c r="C149" s="10"/>
      <c r="D149" s="10"/>
      <c r="E149" s="10"/>
      <c r="F149" s="10"/>
      <c r="G149" s="17"/>
      <c r="H149" s="17"/>
      <c r="I149" s="17"/>
      <c r="J149" s="17"/>
      <c r="K149" s="17"/>
      <c r="L149" s="17"/>
      <c r="M149" s="17"/>
      <c r="N149" s="17" t="str">
        <f t="shared" si="4"/>
        <v/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1"/>
    </row>
    <row r="150" spans="1:27">
      <c r="A150" s="9"/>
      <c r="B150" s="10"/>
      <c r="C150" s="10"/>
      <c r="D150" s="10"/>
      <c r="E150" s="10"/>
      <c r="F150" s="10"/>
      <c r="G150" s="17"/>
      <c r="H150" s="17"/>
      <c r="I150" s="17"/>
      <c r="J150" s="17"/>
      <c r="K150" s="17"/>
      <c r="L150" s="17"/>
      <c r="M150" s="17"/>
      <c r="N150" s="17" t="str">
        <f t="shared" si="4"/>
        <v/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1"/>
    </row>
    <row r="151" spans="1:27">
      <c r="A151" s="9"/>
      <c r="B151" s="10"/>
      <c r="C151" s="10"/>
      <c r="D151" s="10"/>
      <c r="E151" s="10"/>
      <c r="F151" s="10"/>
      <c r="G151" s="17"/>
      <c r="H151" s="17"/>
      <c r="I151" s="17"/>
      <c r="J151" s="17"/>
      <c r="K151" s="17"/>
      <c r="L151" s="17"/>
      <c r="M151" s="17"/>
      <c r="N151" s="17" t="str">
        <f t="shared" si="4"/>
        <v/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1"/>
    </row>
    <row r="152" spans="1:27">
      <c r="A152" s="9"/>
      <c r="B152" s="10"/>
      <c r="C152" s="10"/>
      <c r="D152" s="10"/>
      <c r="E152" s="10"/>
      <c r="F152" s="10"/>
      <c r="G152" s="17"/>
      <c r="H152" s="17"/>
      <c r="I152" s="17"/>
      <c r="J152" s="17"/>
      <c r="K152" s="17"/>
      <c r="L152" s="17"/>
      <c r="M152" s="17"/>
      <c r="N152" s="17" t="str">
        <f t="shared" si="4"/>
        <v/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1"/>
    </row>
    <row r="153" spans="1:27">
      <c r="A153" s="9"/>
      <c r="B153" s="10"/>
      <c r="C153" s="10"/>
      <c r="D153" s="10"/>
      <c r="E153" s="10"/>
      <c r="F153" s="10"/>
      <c r="G153" s="17"/>
      <c r="H153" s="17"/>
      <c r="I153" s="17"/>
      <c r="J153" s="17"/>
      <c r="K153" s="17"/>
      <c r="L153" s="17"/>
      <c r="M153" s="17"/>
      <c r="N153" s="17" t="str">
        <f t="shared" si="4"/>
        <v/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1"/>
    </row>
    <row r="154" spans="1:27">
      <c r="A154" s="9"/>
      <c r="B154" s="10"/>
      <c r="C154" s="10"/>
      <c r="D154" s="10"/>
      <c r="E154" s="10"/>
      <c r="F154" s="10"/>
      <c r="G154" s="17"/>
      <c r="H154" s="17"/>
      <c r="I154" s="17"/>
      <c r="J154" s="17"/>
      <c r="K154" s="17"/>
      <c r="L154" s="17"/>
      <c r="M154" s="17"/>
      <c r="N154" s="17" t="str">
        <f t="shared" si="4"/>
        <v/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1"/>
    </row>
    <row r="155" spans="1:27">
      <c r="A155" s="9"/>
      <c r="B155" s="10"/>
      <c r="C155" s="10"/>
      <c r="D155" s="10"/>
      <c r="E155" s="10"/>
      <c r="F155" s="10"/>
      <c r="G155" s="17"/>
      <c r="H155" s="17"/>
      <c r="I155" s="17"/>
      <c r="J155" s="17"/>
      <c r="K155" s="17"/>
      <c r="L155" s="17"/>
      <c r="M155" s="17"/>
      <c r="N155" s="17" t="str">
        <f t="shared" si="4"/>
        <v/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1"/>
    </row>
    <row r="156" spans="1:27">
      <c r="A156" s="9"/>
      <c r="B156" s="10"/>
      <c r="C156" s="10"/>
      <c r="D156" s="10"/>
      <c r="E156" s="10"/>
      <c r="F156" s="10"/>
      <c r="G156" s="17"/>
      <c r="H156" s="17"/>
      <c r="I156" s="17"/>
      <c r="J156" s="17"/>
      <c r="K156" s="17"/>
      <c r="L156" s="17"/>
      <c r="M156" s="17"/>
      <c r="N156" s="17" t="str">
        <f t="shared" si="4"/>
        <v/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1"/>
    </row>
    <row r="157" spans="1:27">
      <c r="A157" s="9"/>
      <c r="B157" s="10"/>
      <c r="C157" s="10"/>
      <c r="D157" s="10"/>
      <c r="E157" s="10"/>
      <c r="F157" s="10"/>
      <c r="G157" s="17"/>
      <c r="H157" s="17"/>
      <c r="I157" s="17"/>
      <c r="J157" s="17"/>
      <c r="K157" s="17"/>
      <c r="L157" s="17"/>
      <c r="M157" s="17"/>
      <c r="N157" s="17" t="str">
        <f t="shared" si="4"/>
        <v/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1"/>
    </row>
    <row r="158" spans="1:27">
      <c r="A158" s="9"/>
      <c r="B158" s="10"/>
      <c r="C158" s="10"/>
      <c r="D158" s="10"/>
      <c r="E158" s="10"/>
      <c r="F158" s="10"/>
      <c r="G158" s="17"/>
      <c r="H158" s="17"/>
      <c r="I158" s="17"/>
      <c r="J158" s="17"/>
      <c r="K158" s="17"/>
      <c r="L158" s="17"/>
      <c r="M158" s="17"/>
      <c r="N158" s="17" t="str">
        <f t="shared" si="4"/>
        <v/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1"/>
    </row>
    <row r="159" spans="1:27">
      <c r="A159" s="9"/>
      <c r="B159" s="10"/>
      <c r="C159" s="10"/>
      <c r="D159" s="10"/>
      <c r="E159" s="10"/>
      <c r="F159" s="10"/>
      <c r="G159" s="17"/>
      <c r="H159" s="17"/>
      <c r="I159" s="17"/>
      <c r="J159" s="17"/>
      <c r="K159" s="17"/>
      <c r="L159" s="17"/>
      <c r="M159" s="17"/>
      <c r="N159" s="17" t="str">
        <f t="shared" si="4"/>
        <v/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1"/>
    </row>
    <row r="160" spans="1:27">
      <c r="A160" s="9"/>
      <c r="B160" s="10"/>
      <c r="C160" s="10"/>
      <c r="D160" s="10"/>
      <c r="E160" s="10"/>
      <c r="F160" s="10"/>
      <c r="G160" s="17"/>
      <c r="H160" s="17"/>
      <c r="I160" s="17"/>
      <c r="J160" s="17"/>
      <c r="K160" s="17"/>
      <c r="L160" s="17"/>
      <c r="M160" s="17"/>
      <c r="N160" s="17" t="str">
        <f t="shared" si="4"/>
        <v/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1"/>
    </row>
    <row r="161" spans="1:27">
      <c r="A161" s="9"/>
      <c r="B161" s="10"/>
      <c r="C161" s="10"/>
      <c r="D161" s="10"/>
      <c r="E161" s="10"/>
      <c r="F161" s="10"/>
      <c r="G161" s="17"/>
      <c r="H161" s="17"/>
      <c r="I161" s="17"/>
      <c r="J161" s="17"/>
      <c r="K161" s="17"/>
      <c r="L161" s="17"/>
      <c r="M161" s="17"/>
      <c r="N161" s="17" t="str">
        <f t="shared" si="4"/>
        <v/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1"/>
    </row>
    <row r="162" spans="1:27">
      <c r="A162" s="9"/>
      <c r="B162" s="10"/>
      <c r="C162" s="10"/>
      <c r="D162" s="10"/>
      <c r="E162" s="10"/>
      <c r="F162" s="10"/>
      <c r="G162" s="17"/>
      <c r="H162" s="17"/>
      <c r="I162" s="17"/>
      <c r="J162" s="17"/>
      <c r="K162" s="17"/>
      <c r="L162" s="17"/>
      <c r="M162" s="17"/>
      <c r="N162" s="17" t="str">
        <f t="shared" si="4"/>
        <v/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1"/>
    </row>
    <row r="163" spans="1:27">
      <c r="A163" s="9"/>
      <c r="B163" s="10"/>
      <c r="C163" s="10"/>
      <c r="D163" s="10"/>
      <c r="E163" s="10"/>
      <c r="F163" s="10"/>
      <c r="G163" s="17"/>
      <c r="H163" s="17"/>
      <c r="I163" s="17"/>
      <c r="J163" s="17"/>
      <c r="K163" s="17"/>
      <c r="L163" s="17"/>
      <c r="M163" s="17"/>
      <c r="N163" s="17" t="str">
        <f t="shared" si="4"/>
        <v/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1"/>
    </row>
    <row r="164" spans="1:27">
      <c r="A164" s="9"/>
      <c r="B164" s="10"/>
      <c r="C164" s="10"/>
      <c r="D164" s="10"/>
      <c r="E164" s="10"/>
      <c r="F164" s="10"/>
      <c r="G164" s="17"/>
      <c r="H164" s="17"/>
      <c r="I164" s="17"/>
      <c r="J164" s="17"/>
      <c r="K164" s="17"/>
      <c r="L164" s="17"/>
      <c r="M164" s="17"/>
      <c r="N164" s="17" t="str">
        <f t="shared" ref="N164:N195" si="5">IFERROR(I164/L164,"")</f>
        <v/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1"/>
    </row>
    <row r="165" spans="1:27">
      <c r="A165" s="9"/>
      <c r="B165" s="10"/>
      <c r="C165" s="10"/>
      <c r="D165" s="10"/>
      <c r="E165" s="10"/>
      <c r="F165" s="10"/>
      <c r="G165" s="17"/>
      <c r="H165" s="17"/>
      <c r="I165" s="17"/>
      <c r="J165" s="17"/>
      <c r="K165" s="17"/>
      <c r="L165" s="17"/>
      <c r="M165" s="17"/>
      <c r="N165" s="17" t="str">
        <f t="shared" si="5"/>
        <v/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1"/>
    </row>
    <row r="166" spans="1:27">
      <c r="A166" s="9"/>
      <c r="B166" s="10"/>
      <c r="C166" s="10"/>
      <c r="D166" s="10"/>
      <c r="E166" s="10"/>
      <c r="F166" s="10"/>
      <c r="G166" s="17"/>
      <c r="H166" s="17"/>
      <c r="I166" s="17"/>
      <c r="J166" s="17"/>
      <c r="K166" s="17"/>
      <c r="L166" s="17"/>
      <c r="M166" s="17"/>
      <c r="N166" s="17" t="str">
        <f t="shared" si="5"/>
        <v/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1"/>
    </row>
    <row r="167" spans="1:27">
      <c r="A167" s="9"/>
      <c r="B167" s="10"/>
      <c r="C167" s="10"/>
      <c r="D167" s="10"/>
      <c r="E167" s="10"/>
      <c r="F167" s="10"/>
      <c r="G167" s="17"/>
      <c r="H167" s="17"/>
      <c r="I167" s="17"/>
      <c r="J167" s="17"/>
      <c r="K167" s="17"/>
      <c r="L167" s="17"/>
      <c r="M167" s="17"/>
      <c r="N167" s="17" t="str">
        <f t="shared" si="5"/>
        <v/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1"/>
    </row>
    <row r="168" spans="1:27">
      <c r="A168" s="9"/>
      <c r="B168" s="10"/>
      <c r="C168" s="10"/>
      <c r="D168" s="10"/>
      <c r="E168" s="10"/>
      <c r="F168" s="10"/>
      <c r="G168" s="17"/>
      <c r="H168" s="17"/>
      <c r="I168" s="17"/>
      <c r="J168" s="17"/>
      <c r="K168" s="17"/>
      <c r="L168" s="17"/>
      <c r="M168" s="17"/>
      <c r="N168" s="17" t="str">
        <f t="shared" si="5"/>
        <v/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1"/>
    </row>
    <row r="169" spans="1:27">
      <c r="A169" s="9"/>
      <c r="B169" s="10"/>
      <c r="C169" s="10"/>
      <c r="D169" s="10"/>
      <c r="E169" s="10"/>
      <c r="F169" s="10"/>
      <c r="G169" s="17"/>
      <c r="H169" s="17"/>
      <c r="I169" s="17"/>
      <c r="J169" s="17"/>
      <c r="K169" s="17"/>
      <c r="L169" s="17"/>
      <c r="M169" s="17"/>
      <c r="N169" s="17" t="str">
        <f t="shared" si="5"/>
        <v/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1"/>
    </row>
    <row r="170" spans="1:27">
      <c r="A170" s="9"/>
      <c r="B170" s="10"/>
      <c r="C170" s="10"/>
      <c r="D170" s="10"/>
      <c r="E170" s="10"/>
      <c r="F170" s="10"/>
      <c r="G170" s="17"/>
      <c r="H170" s="17"/>
      <c r="I170" s="17"/>
      <c r="J170" s="17"/>
      <c r="K170" s="17"/>
      <c r="L170" s="17"/>
      <c r="M170" s="17"/>
      <c r="N170" s="17" t="str">
        <f t="shared" si="5"/>
        <v/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1"/>
    </row>
    <row r="171" spans="1:27">
      <c r="A171" s="9"/>
      <c r="B171" s="10"/>
      <c r="C171" s="10"/>
      <c r="D171" s="10"/>
      <c r="E171" s="10"/>
      <c r="F171" s="10"/>
      <c r="G171" s="17"/>
      <c r="H171" s="17"/>
      <c r="I171" s="17"/>
      <c r="J171" s="17"/>
      <c r="K171" s="17"/>
      <c r="L171" s="17"/>
      <c r="M171" s="17"/>
      <c r="N171" s="17" t="str">
        <f t="shared" si="5"/>
        <v/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1"/>
    </row>
    <row r="172" spans="1:27">
      <c r="A172" s="9"/>
      <c r="B172" s="10"/>
      <c r="C172" s="10"/>
      <c r="D172" s="10"/>
      <c r="E172" s="10"/>
      <c r="F172" s="10"/>
      <c r="G172" s="17"/>
      <c r="H172" s="17"/>
      <c r="I172" s="17"/>
      <c r="J172" s="17"/>
      <c r="K172" s="17"/>
      <c r="L172" s="17"/>
      <c r="M172" s="17"/>
      <c r="N172" s="17" t="str">
        <f t="shared" si="5"/>
        <v/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1"/>
    </row>
    <row r="173" spans="1:27">
      <c r="A173" s="9"/>
      <c r="B173" s="10"/>
      <c r="C173" s="10"/>
      <c r="D173" s="10"/>
      <c r="E173" s="10"/>
      <c r="F173" s="10"/>
      <c r="G173" s="17"/>
      <c r="H173" s="17"/>
      <c r="I173" s="17"/>
      <c r="J173" s="17"/>
      <c r="K173" s="17"/>
      <c r="L173" s="17"/>
      <c r="M173" s="17"/>
      <c r="N173" s="17" t="str">
        <f t="shared" si="5"/>
        <v/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1"/>
    </row>
    <row r="174" spans="1:27">
      <c r="A174" s="9"/>
      <c r="B174" s="10"/>
      <c r="C174" s="10"/>
      <c r="D174" s="10"/>
      <c r="E174" s="10"/>
      <c r="F174" s="10"/>
      <c r="G174" s="17"/>
      <c r="H174" s="17"/>
      <c r="I174" s="17"/>
      <c r="J174" s="17"/>
      <c r="K174" s="17"/>
      <c r="L174" s="17"/>
      <c r="M174" s="17"/>
      <c r="N174" s="17" t="str">
        <f t="shared" si="5"/>
        <v/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1"/>
    </row>
    <row r="175" spans="1:27">
      <c r="A175" s="9"/>
      <c r="B175" s="10"/>
      <c r="C175" s="10"/>
      <c r="D175" s="10"/>
      <c r="E175" s="10"/>
      <c r="F175" s="10"/>
      <c r="G175" s="17"/>
      <c r="H175" s="17"/>
      <c r="I175" s="17"/>
      <c r="J175" s="17"/>
      <c r="K175" s="17"/>
      <c r="L175" s="17"/>
      <c r="M175" s="17"/>
      <c r="N175" s="17" t="str">
        <f t="shared" si="5"/>
        <v/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"/>
    </row>
    <row r="176" spans="1:27">
      <c r="A176" s="9"/>
      <c r="B176" s="10"/>
      <c r="C176" s="10"/>
      <c r="D176" s="10"/>
      <c r="E176" s="10"/>
      <c r="F176" s="10"/>
      <c r="G176" s="17"/>
      <c r="H176" s="17"/>
      <c r="I176" s="17"/>
      <c r="J176" s="17"/>
      <c r="K176" s="17"/>
      <c r="L176" s="17"/>
      <c r="M176" s="17"/>
      <c r="N176" s="17" t="str">
        <f t="shared" si="5"/>
        <v/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"/>
    </row>
    <row r="177" spans="1:27">
      <c r="A177" s="9"/>
      <c r="B177" s="10"/>
      <c r="C177" s="10"/>
      <c r="D177" s="10"/>
      <c r="E177" s="10"/>
      <c r="F177" s="10"/>
      <c r="G177" s="17"/>
      <c r="H177" s="17"/>
      <c r="I177" s="17"/>
      <c r="J177" s="17"/>
      <c r="K177" s="17"/>
      <c r="L177" s="17"/>
      <c r="M177" s="17"/>
      <c r="N177" s="17" t="str">
        <f t="shared" si="5"/>
        <v/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"/>
    </row>
    <row r="178" spans="1:27">
      <c r="A178" s="9"/>
      <c r="B178" s="10"/>
      <c r="C178" s="10"/>
      <c r="D178" s="10"/>
      <c r="E178" s="10"/>
      <c r="F178" s="10"/>
      <c r="G178" s="17"/>
      <c r="H178" s="17"/>
      <c r="I178" s="17"/>
      <c r="J178" s="17"/>
      <c r="K178" s="17"/>
      <c r="L178" s="17"/>
      <c r="M178" s="17"/>
      <c r="N178" s="17" t="str">
        <f t="shared" si="5"/>
        <v/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"/>
    </row>
    <row r="179" spans="1:27">
      <c r="A179" s="9"/>
      <c r="B179" s="10"/>
      <c r="C179" s="10"/>
      <c r="D179" s="10"/>
      <c r="E179" s="10"/>
      <c r="F179" s="10"/>
      <c r="G179" s="17"/>
      <c r="H179" s="17"/>
      <c r="I179" s="17"/>
      <c r="J179" s="17"/>
      <c r="K179" s="17"/>
      <c r="L179" s="17"/>
      <c r="M179" s="17"/>
      <c r="N179" s="17" t="str">
        <f t="shared" si="5"/>
        <v/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"/>
    </row>
    <row r="180" spans="1:27">
      <c r="A180" s="9"/>
      <c r="B180" s="10"/>
      <c r="C180" s="10"/>
      <c r="D180" s="10"/>
      <c r="E180" s="10"/>
      <c r="F180" s="10"/>
      <c r="G180" s="17"/>
      <c r="H180" s="17"/>
      <c r="I180" s="17"/>
      <c r="J180" s="17"/>
      <c r="K180" s="17"/>
      <c r="L180" s="17"/>
      <c r="M180" s="17"/>
      <c r="N180" s="17" t="str">
        <f t="shared" si="5"/>
        <v/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"/>
    </row>
    <row r="181" spans="1:27">
      <c r="A181" s="9"/>
      <c r="B181" s="10"/>
      <c r="C181" s="10"/>
      <c r="D181" s="10"/>
      <c r="E181" s="10"/>
      <c r="F181" s="10"/>
      <c r="G181" s="17"/>
      <c r="H181" s="17"/>
      <c r="I181" s="17"/>
      <c r="J181" s="17"/>
      <c r="K181" s="17"/>
      <c r="L181" s="17"/>
      <c r="M181" s="17"/>
      <c r="N181" s="17" t="str">
        <f t="shared" si="5"/>
        <v/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"/>
    </row>
    <row r="182" spans="1:27">
      <c r="A182" s="9"/>
      <c r="B182" s="10"/>
      <c r="C182" s="10"/>
      <c r="D182" s="10"/>
      <c r="E182" s="10"/>
      <c r="F182" s="10"/>
      <c r="G182" s="17"/>
      <c r="H182" s="17"/>
      <c r="I182" s="17"/>
      <c r="J182" s="17"/>
      <c r="K182" s="17"/>
      <c r="L182" s="17"/>
      <c r="M182" s="17"/>
      <c r="N182" s="17" t="str">
        <f t="shared" si="5"/>
        <v/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"/>
    </row>
    <row r="183" spans="1:27">
      <c r="A183" s="9"/>
      <c r="B183" s="10"/>
      <c r="C183" s="10"/>
      <c r="D183" s="10"/>
      <c r="E183" s="10"/>
      <c r="F183" s="10"/>
      <c r="G183" s="17"/>
      <c r="H183" s="17"/>
      <c r="I183" s="17"/>
      <c r="J183" s="17"/>
      <c r="K183" s="17"/>
      <c r="L183" s="17"/>
      <c r="M183" s="17"/>
      <c r="N183" s="17" t="str">
        <f t="shared" si="5"/>
        <v/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"/>
    </row>
    <row r="184" spans="1:27">
      <c r="A184" s="9"/>
      <c r="B184" s="10"/>
      <c r="C184" s="10"/>
      <c r="D184" s="10"/>
      <c r="E184" s="10"/>
      <c r="F184" s="10"/>
      <c r="G184" s="17"/>
      <c r="H184" s="17"/>
      <c r="I184" s="17"/>
      <c r="J184" s="17"/>
      <c r="K184" s="17"/>
      <c r="L184" s="17"/>
      <c r="M184" s="17"/>
      <c r="N184" s="17" t="str">
        <f t="shared" si="5"/>
        <v/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/>
    </row>
    <row r="185" spans="1:27">
      <c r="A185" s="9"/>
      <c r="B185" s="10"/>
      <c r="C185" s="10"/>
      <c r="D185" s="10"/>
      <c r="E185" s="10"/>
      <c r="F185" s="10"/>
      <c r="G185" s="17"/>
      <c r="H185" s="17"/>
      <c r="I185" s="17"/>
      <c r="J185" s="17"/>
      <c r="K185" s="17"/>
      <c r="L185" s="17"/>
      <c r="M185" s="17"/>
      <c r="N185" s="17" t="str">
        <f t="shared" si="5"/>
        <v/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"/>
    </row>
    <row r="186" spans="1:27">
      <c r="A186" s="9"/>
      <c r="B186" s="10"/>
      <c r="C186" s="10"/>
      <c r="D186" s="10"/>
      <c r="E186" s="10"/>
      <c r="F186" s="10"/>
      <c r="G186" s="17"/>
      <c r="H186" s="17"/>
      <c r="I186" s="17"/>
      <c r="J186" s="17"/>
      <c r="K186" s="17"/>
      <c r="L186" s="17"/>
      <c r="M186" s="17"/>
      <c r="N186" s="17" t="str">
        <f t="shared" si="5"/>
        <v/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"/>
    </row>
    <row r="187" spans="1:27">
      <c r="A187" s="9"/>
      <c r="B187" s="10"/>
      <c r="C187" s="10"/>
      <c r="D187" s="10"/>
      <c r="E187" s="10"/>
      <c r="F187" s="10"/>
      <c r="G187" s="17"/>
      <c r="H187" s="17"/>
      <c r="I187" s="17"/>
      <c r="J187" s="17"/>
      <c r="K187" s="17"/>
      <c r="L187" s="17"/>
      <c r="M187" s="17"/>
      <c r="N187" s="17" t="str">
        <f t="shared" si="5"/>
        <v/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"/>
    </row>
    <row r="188" spans="1:27">
      <c r="A188" s="9"/>
      <c r="B188" s="10"/>
      <c r="C188" s="10"/>
      <c r="D188" s="10"/>
      <c r="E188" s="10"/>
      <c r="F188" s="10"/>
      <c r="G188" s="17"/>
      <c r="H188" s="17"/>
      <c r="I188" s="17"/>
      <c r="J188" s="17"/>
      <c r="K188" s="17"/>
      <c r="L188" s="17"/>
      <c r="M188" s="17"/>
      <c r="N188" s="17" t="str">
        <f t="shared" si="5"/>
        <v/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"/>
    </row>
    <row r="189" spans="1:27">
      <c r="A189" s="9"/>
      <c r="B189" s="10"/>
      <c r="C189" s="10"/>
      <c r="D189" s="10"/>
      <c r="E189" s="10"/>
      <c r="F189" s="10"/>
      <c r="G189" s="17"/>
      <c r="H189" s="17"/>
      <c r="I189" s="17"/>
      <c r="J189" s="17"/>
      <c r="K189" s="17"/>
      <c r="L189" s="17"/>
      <c r="M189" s="17"/>
      <c r="N189" s="17" t="str">
        <f t="shared" si="5"/>
        <v/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"/>
    </row>
    <row r="190" spans="1:27">
      <c r="A190" s="9"/>
      <c r="B190" s="10"/>
      <c r="C190" s="10"/>
      <c r="D190" s="10"/>
      <c r="E190" s="10"/>
      <c r="F190" s="10"/>
      <c r="G190" s="17"/>
      <c r="H190" s="17"/>
      <c r="I190" s="17"/>
      <c r="J190" s="17"/>
      <c r="K190" s="17"/>
      <c r="L190" s="17"/>
      <c r="M190" s="17"/>
      <c r="N190" s="17" t="str">
        <f t="shared" si="5"/>
        <v/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"/>
    </row>
    <row r="191" spans="1:27">
      <c r="A191" s="9"/>
      <c r="B191" s="10"/>
      <c r="C191" s="10"/>
      <c r="D191" s="10"/>
      <c r="E191" s="10"/>
      <c r="F191" s="10"/>
      <c r="G191" s="17"/>
      <c r="H191" s="17"/>
      <c r="I191" s="17"/>
      <c r="J191" s="17"/>
      <c r="K191" s="17"/>
      <c r="L191" s="17"/>
      <c r="M191" s="17"/>
      <c r="N191" s="17" t="str">
        <f t="shared" si="5"/>
        <v/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"/>
    </row>
    <row r="192" spans="1:27">
      <c r="A192" s="9"/>
      <c r="B192" s="10"/>
      <c r="C192" s="10"/>
      <c r="D192" s="10"/>
      <c r="E192" s="10"/>
      <c r="F192" s="10"/>
      <c r="G192" s="17"/>
      <c r="H192" s="17"/>
      <c r="I192" s="17"/>
      <c r="J192" s="17"/>
      <c r="K192" s="17"/>
      <c r="L192" s="17"/>
      <c r="M192" s="17"/>
      <c r="N192" s="17" t="str">
        <f t="shared" si="5"/>
        <v/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"/>
    </row>
    <row r="193" spans="1:27">
      <c r="A193" s="9"/>
      <c r="B193" s="10"/>
      <c r="C193" s="10"/>
      <c r="D193" s="10"/>
      <c r="E193" s="10"/>
      <c r="F193" s="10"/>
      <c r="G193" s="17"/>
      <c r="H193" s="17"/>
      <c r="I193" s="17"/>
      <c r="J193" s="17"/>
      <c r="K193" s="17"/>
      <c r="L193" s="17"/>
      <c r="M193" s="17"/>
      <c r="N193" s="17" t="str">
        <f t="shared" si="5"/>
        <v/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"/>
    </row>
    <row r="194" spans="1:27">
      <c r="A194" s="9"/>
      <c r="B194" s="10"/>
      <c r="C194" s="10"/>
      <c r="D194" s="10"/>
      <c r="E194" s="10"/>
      <c r="F194" s="10"/>
      <c r="G194" s="17"/>
      <c r="H194" s="17"/>
      <c r="I194" s="17"/>
      <c r="J194" s="17"/>
      <c r="K194" s="17"/>
      <c r="L194" s="17"/>
      <c r="M194" s="17"/>
      <c r="N194" s="17" t="str">
        <f t="shared" si="5"/>
        <v/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"/>
    </row>
    <row r="195" spans="1:27">
      <c r="A195" s="9"/>
      <c r="B195" s="10"/>
      <c r="C195" s="10"/>
      <c r="D195" s="10"/>
      <c r="E195" s="10"/>
      <c r="F195" s="10"/>
      <c r="G195" s="17"/>
      <c r="H195" s="17"/>
      <c r="I195" s="17"/>
      <c r="J195" s="17"/>
      <c r="K195" s="17"/>
      <c r="L195" s="17"/>
      <c r="M195" s="17"/>
      <c r="N195" s="17" t="str">
        <f t="shared" si="5"/>
        <v/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"/>
    </row>
    <row r="196" spans="1:27">
      <c r="A196" s="9"/>
      <c r="B196" s="10"/>
      <c r="C196" s="10"/>
      <c r="D196" s="10"/>
      <c r="E196" s="10"/>
      <c r="F196" s="10"/>
      <c r="G196" s="17"/>
      <c r="H196" s="17"/>
      <c r="I196" s="17"/>
      <c r="J196" s="17"/>
      <c r="K196" s="17"/>
      <c r="L196" s="17"/>
      <c r="M196" s="17"/>
      <c r="N196" s="17" t="str">
        <f t="shared" ref="N196:N203" si="6">IFERROR(I196/L196,"")</f>
        <v/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"/>
    </row>
    <row r="197" spans="1:27">
      <c r="A197" s="9"/>
      <c r="B197" s="10"/>
      <c r="C197" s="10"/>
      <c r="D197" s="10"/>
      <c r="E197" s="10"/>
      <c r="F197" s="10"/>
      <c r="G197" s="17"/>
      <c r="H197" s="17"/>
      <c r="I197" s="17"/>
      <c r="J197" s="17"/>
      <c r="K197" s="17"/>
      <c r="L197" s="17"/>
      <c r="M197" s="17"/>
      <c r="N197" s="17" t="str">
        <f t="shared" si="6"/>
        <v/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"/>
    </row>
    <row r="198" spans="1:27">
      <c r="A198" s="9"/>
      <c r="B198" s="10"/>
      <c r="C198" s="10"/>
      <c r="D198" s="10"/>
      <c r="E198" s="10"/>
      <c r="F198" s="10"/>
      <c r="G198" s="17"/>
      <c r="H198" s="17"/>
      <c r="I198" s="17"/>
      <c r="J198" s="17"/>
      <c r="K198" s="17"/>
      <c r="L198" s="17"/>
      <c r="M198" s="17"/>
      <c r="N198" s="17" t="str">
        <f t="shared" si="6"/>
        <v/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"/>
    </row>
    <row r="199" spans="1:27">
      <c r="A199" s="9"/>
      <c r="B199" s="10"/>
      <c r="C199" s="10"/>
      <c r="D199" s="10"/>
      <c r="E199" s="10"/>
      <c r="F199" s="10"/>
      <c r="G199" s="17"/>
      <c r="H199" s="17"/>
      <c r="I199" s="17"/>
      <c r="J199" s="17"/>
      <c r="K199" s="17"/>
      <c r="L199" s="17"/>
      <c r="M199" s="17"/>
      <c r="N199" s="17" t="str">
        <f t="shared" si="6"/>
        <v/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"/>
    </row>
    <row r="200" spans="1:27">
      <c r="A200" s="9"/>
      <c r="B200" s="10"/>
      <c r="C200" s="10"/>
      <c r="D200" s="10"/>
      <c r="E200" s="10"/>
      <c r="F200" s="10"/>
      <c r="G200" s="17"/>
      <c r="H200" s="17"/>
      <c r="I200" s="17"/>
      <c r="J200" s="17"/>
      <c r="K200" s="17"/>
      <c r="L200" s="17"/>
      <c r="M200" s="17"/>
      <c r="N200" s="17" t="str">
        <f t="shared" si="6"/>
        <v/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1"/>
    </row>
    <row r="201" spans="1:27">
      <c r="A201" s="9"/>
      <c r="B201" s="10"/>
      <c r="C201" s="10"/>
      <c r="D201" s="10"/>
      <c r="E201" s="10"/>
      <c r="F201" s="10"/>
      <c r="G201" s="17"/>
      <c r="H201" s="17"/>
      <c r="I201" s="17"/>
      <c r="J201" s="17"/>
      <c r="K201" s="17"/>
      <c r="L201" s="17"/>
      <c r="M201" s="17"/>
      <c r="N201" s="17" t="str">
        <f t="shared" si="6"/>
        <v/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"/>
    </row>
    <row r="202" spans="1:27">
      <c r="A202" s="9"/>
      <c r="B202" s="10"/>
      <c r="C202" s="10"/>
      <c r="D202" s="10"/>
      <c r="E202" s="10"/>
      <c r="F202" s="10"/>
      <c r="G202" s="17"/>
      <c r="H202" s="17"/>
      <c r="I202" s="17"/>
      <c r="J202" s="17"/>
      <c r="K202" s="17"/>
      <c r="L202" s="17"/>
      <c r="M202" s="17"/>
      <c r="N202" s="17" t="str">
        <f t="shared" si="6"/>
        <v/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"/>
    </row>
    <row r="203" spans="1:27">
      <c r="A203" s="12"/>
      <c r="B203" s="13"/>
      <c r="C203" s="13"/>
      <c r="D203" s="13"/>
      <c r="E203" s="13"/>
      <c r="F203" s="13"/>
      <c r="G203" s="18"/>
      <c r="H203" s="18"/>
      <c r="I203" s="18"/>
      <c r="J203" s="18"/>
      <c r="K203" s="18"/>
      <c r="L203" s="18"/>
      <c r="M203" s="18"/>
      <c r="N203" s="18" t="str">
        <f t="shared" si="6"/>
        <v/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</row>
  </sheetData>
  <mergeCells count="2">
    <mergeCell ref="A1:AA1"/>
    <mergeCell ref="A2:AA2"/>
  </mergeCells>
  <phoneticPr fontId="49" type="noConversion"/>
  <conditionalFormatting sqref="Z4:Z203">
    <cfRule type="containsText" dxfId="5" priority="1" operator="containsText" text="通过"/>
    <cfRule type="containsText" dxfId="4" priority="2" operator="containsText" text="争议"/>
    <cfRule type="containsText" dxfId="3" priority="3" operator="containsText" text="驳回"/>
  </conditionalFormatting>
  <dataValidations count="4">
    <dataValidation type="list" sqref="F4:F203" xr:uid="{00000000-0002-0000-0D00-000000000000}">
      <formula1>"长度,宽度,面积,距离,高度,容量,其他"</formula1>
    </dataValidation>
    <dataValidation type="list" sqref="P4:P203" xr:uid="{00000000-0002-0000-0D00-000001000000}">
      <formula1>"可比,条件可比,不可直接比较,待确认"</formula1>
    </dataValidation>
    <dataValidation type="list" sqref="X4:X203" xr:uid="{00000000-0002-0000-0D00-000002000000}">
      <formula1>"史料直述,考古测量,地图测量,现代研究,计算结果,推导结论"</formula1>
    </dataValidation>
    <dataValidation type="list" sqref="Z4:Z203" xr:uid="{00000000-0002-0000-0D00-000003000000}">
      <formula1>"草稿,待审核,通过,驳回,争议"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53"/>
  <sheetViews>
    <sheetView showGridLines="0" workbookViewId="0"/>
  </sheetViews>
  <sheetFormatPr defaultRowHeight="13.8"/>
  <cols>
    <col min="1" max="1" width="17" customWidth="1"/>
    <col min="2" max="2" width="28" customWidth="1"/>
    <col min="3" max="3" width="18" customWidth="1"/>
    <col min="4" max="4" width="24" customWidth="1"/>
    <col min="5" max="6" width="38" customWidth="1"/>
    <col min="7" max="11" width="28" customWidth="1"/>
    <col min="12" max="13" width="34" customWidth="1"/>
    <col min="14" max="14" width="40" customWidth="1"/>
    <col min="15" max="16" width="12" customWidth="1"/>
    <col min="17" max="17" width="17" customWidth="1"/>
    <col min="18" max="18" width="18" customWidth="1"/>
    <col min="19" max="19" width="38" customWidth="1"/>
    <col min="20" max="20" width="16" customWidth="1"/>
    <col min="21" max="21" width="12" customWidth="1"/>
    <col min="22" max="22" width="14" customWidth="1"/>
    <col min="23" max="23" width="34" customWidth="1"/>
  </cols>
  <sheetData>
    <row r="1" spans="1:23" ht="30" customHeight="1">
      <c r="A1" s="105" t="s">
        <v>864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3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ht="34.049999999999997" customHeight="1">
      <c r="A3" s="4" t="s">
        <v>865</v>
      </c>
      <c r="B3" s="4" t="s">
        <v>714</v>
      </c>
      <c r="C3" s="4" t="s">
        <v>715</v>
      </c>
      <c r="D3" s="4" t="s">
        <v>866</v>
      </c>
      <c r="E3" s="4" t="s">
        <v>867</v>
      </c>
      <c r="F3" s="4" t="s">
        <v>868</v>
      </c>
      <c r="G3" s="4" t="s">
        <v>869</v>
      </c>
      <c r="H3" s="4" t="s">
        <v>870</v>
      </c>
      <c r="I3" s="4" t="s">
        <v>871</v>
      </c>
      <c r="J3" s="4" t="s">
        <v>872</v>
      </c>
      <c r="K3" s="4" t="s">
        <v>873</v>
      </c>
      <c r="L3" s="4" t="s">
        <v>874</v>
      </c>
      <c r="M3" s="4" t="s">
        <v>875</v>
      </c>
      <c r="N3" s="4" t="s">
        <v>876</v>
      </c>
      <c r="O3" s="4" t="s">
        <v>581</v>
      </c>
      <c r="P3" s="4" t="s">
        <v>582</v>
      </c>
      <c r="Q3" s="4" t="s">
        <v>117</v>
      </c>
      <c r="R3" s="4" t="s">
        <v>585</v>
      </c>
      <c r="S3" s="4" t="s">
        <v>595</v>
      </c>
      <c r="T3" s="4" t="s">
        <v>192</v>
      </c>
      <c r="U3" s="4" t="s">
        <v>193</v>
      </c>
      <c r="V3" s="4" t="s">
        <v>129</v>
      </c>
      <c r="W3" s="4" t="s">
        <v>194</v>
      </c>
    </row>
    <row r="4" spans="1:23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1:2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4"/>
    </row>
  </sheetData>
  <mergeCells count="2">
    <mergeCell ref="A1:W1"/>
    <mergeCell ref="A2:W2"/>
  </mergeCells>
  <phoneticPr fontId="49" type="noConversion"/>
  <conditionalFormatting sqref="V4:V153">
    <cfRule type="containsText" dxfId="2" priority="1" operator="containsText" text="通过"/>
    <cfRule type="containsText" dxfId="1" priority="2" operator="containsText" text="争议"/>
    <cfRule type="containsText" dxfId="0" priority="3" operator="containsText" text="驳回"/>
  </conditionalFormatting>
  <dataValidations count="3">
    <dataValidation type="list" sqref="C4:C153" xr:uid="{00000000-0002-0000-0E00-000000000000}">
      <formula1>"空间—功能,道路—功能,水系—功能,市场—功能,宫城—功能,混合规则,其他"</formula1>
    </dataValidation>
    <dataValidation type="list" sqref="T4:T153" xr:uid="{00000000-0002-0000-0E00-000001000000}">
      <formula1>"史料直述,考古测量,地图测量,现代研究,计算结果,推导结论"</formula1>
    </dataValidation>
    <dataValidation type="list" sqref="V4:V153" xr:uid="{00000000-0002-0000-0E00-000002000000}">
      <formula1>"草稿,待审核,通过,驳回,争议"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9"/>
  <sheetViews>
    <sheetView showGridLines="0" workbookViewId="0"/>
  </sheetViews>
  <sheetFormatPr defaultRowHeight="13.8"/>
  <cols>
    <col min="1" max="1" width="16" customWidth="1"/>
    <col min="2" max="2" width="24" customWidth="1"/>
    <col min="3" max="3" width="44" customWidth="1"/>
    <col min="4" max="4" width="40" customWidth="1"/>
    <col min="5" max="5" width="18" customWidth="1"/>
    <col min="6" max="6" width="28" customWidth="1"/>
    <col min="7" max="7" width="22" customWidth="1"/>
    <col min="8" max="8" width="18" customWidth="1"/>
    <col min="9" max="9" width="16" customWidth="1"/>
    <col min="10" max="10" width="18" customWidth="1"/>
    <col min="11" max="12" width="38" customWidth="1"/>
    <col min="13" max="13" width="26" customWidth="1"/>
    <col min="14" max="14" width="30" customWidth="1"/>
    <col min="15" max="15" width="18" customWidth="1"/>
    <col min="16" max="16" width="12" customWidth="1"/>
    <col min="17" max="17" width="14" customWidth="1"/>
    <col min="18" max="18" width="34" customWidth="1"/>
  </cols>
  <sheetData>
    <row r="1" spans="1:18" ht="30" customHeight="1">
      <c r="A1" s="113" t="s">
        <v>877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18" ht="31.95" customHeight="1">
      <c r="A2" s="114" t="s">
        <v>878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18" ht="34.049999999999997" customHeight="1">
      <c r="A3" s="48" t="s">
        <v>879</v>
      </c>
      <c r="B3" s="48" t="s">
        <v>880</v>
      </c>
      <c r="C3" s="48" t="s">
        <v>881</v>
      </c>
      <c r="D3" s="48" t="s">
        <v>882</v>
      </c>
      <c r="E3" s="48" t="s">
        <v>883</v>
      </c>
      <c r="F3" s="48" t="s">
        <v>884</v>
      </c>
      <c r="G3" s="48" t="s">
        <v>885</v>
      </c>
      <c r="H3" s="48" t="s">
        <v>886</v>
      </c>
      <c r="I3" s="48" t="s">
        <v>117</v>
      </c>
      <c r="J3" s="48" t="s">
        <v>188</v>
      </c>
      <c r="K3" s="48" t="s">
        <v>887</v>
      </c>
      <c r="L3" s="48" t="s">
        <v>888</v>
      </c>
      <c r="M3" s="48" t="s">
        <v>889</v>
      </c>
      <c r="N3" s="48" t="s">
        <v>890</v>
      </c>
      <c r="O3" s="48" t="s">
        <v>891</v>
      </c>
      <c r="P3" s="48" t="s">
        <v>193</v>
      </c>
      <c r="Q3" s="48" t="s">
        <v>129</v>
      </c>
      <c r="R3" s="48" t="s">
        <v>194</v>
      </c>
    </row>
    <row r="4" spans="1:18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1:18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ht="90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1:18" ht="9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 spans="1:18" ht="9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 spans="1:18" ht="90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1:18" ht="90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18" ht="9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spans="1:18" ht="120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ht="12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ht="120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 spans="1:18" ht="12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 spans="1:18" ht="12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 spans="1:18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spans="1:18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1:18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1:1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spans="1:18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spans="1:18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spans="1:18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spans="1:18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spans="1:18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spans="1:18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spans="1:18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1:1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spans="1:18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 spans="1:18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6" spans="1:18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</row>
    <row r="47" spans="1:18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  <row r="48" spans="1:1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</row>
    <row r="49" spans="1:18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</row>
    <row r="50" spans="1:18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</row>
    <row r="51" spans="1:18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spans="1:18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  <row r="55" spans="1:18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18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spans="1:18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</row>
    <row r="58" spans="1:1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</row>
    <row r="59" spans="1:18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</row>
    <row r="60" spans="1:18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</row>
    <row r="61" spans="1:18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</row>
    <row r="66" spans="1:18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</row>
    <row r="67" spans="1:18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</row>
    <row r="68" spans="1:1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1:18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 spans="1:18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</row>
    <row r="71" spans="1:18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</row>
    <row r="72" spans="1:18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</row>
    <row r="75" spans="1:18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</row>
    <row r="76" spans="1:18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 spans="1:18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</row>
    <row r="78" spans="1:1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</row>
    <row r="79" spans="1:18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18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 spans="1:18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 spans="1:18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</row>
    <row r="86" spans="1:18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</row>
    <row r="87" spans="1:18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</row>
    <row r="93" spans="1:18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</row>
    <row r="94" spans="1:18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18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 spans="1:18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1:18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</row>
    <row r="101" spans="1:18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ht="9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ht="9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ht="9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ht="9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</row>
    <row r="108" spans="1:18" ht="9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1:18" ht="9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</row>
  </sheetData>
  <mergeCells count="2">
    <mergeCell ref="A1:R1"/>
    <mergeCell ref="A2:R2"/>
  </mergeCells>
  <phoneticPr fontId="49" type="noConversion"/>
  <dataValidations count="5">
    <dataValidation type="list" sqref="E4:E103" xr:uid="{00000000-0002-0000-0F00-000000000000}">
      <formula1>"原因解释,功能判断,空间推断,发展演变,学术争议,其他"</formula1>
    </dataValidation>
    <dataValidation type="list" sqref="G4:G103" xr:uid="{00000000-0002-0000-0F00-000001000000}">
      <formula1>"EXPLAINS,APPLIES_TO,INTERPRETS,SUPPORTED_BY,CONTRADICTS,REFINES"</formula1>
    </dataValidation>
    <dataValidation type="list" sqref="O4:O103" xr:uid="{00000000-0002-0000-0F00-000002000000}">
      <formula1>"作者主张,学界共识,争议观点,项目推断"</formula1>
    </dataValidation>
    <dataValidation type="decimal" sqref="P4:P103" xr:uid="{00000000-0002-0000-0F00-000003000000}">
      <formula1>0</formula1>
      <formula2>1</formula2>
    </dataValidation>
    <dataValidation type="list" sqref="Q4:Q103" xr:uid="{00000000-0002-0000-0F00-000004000000}">
      <formula1>"待审核,已通过,有争议,不采用"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3"/>
  <sheetViews>
    <sheetView showGridLines="0" workbookViewId="0"/>
  </sheetViews>
  <sheetFormatPr defaultRowHeight="13.8"/>
  <cols>
    <col min="1" max="1" width="19" customWidth="1"/>
    <col min="2" max="2" width="18" customWidth="1"/>
    <col min="3" max="3" width="28" customWidth="1"/>
    <col min="4" max="4" width="18" customWidth="1"/>
    <col min="5" max="5" width="13" customWidth="1"/>
    <col min="6" max="6" width="22" customWidth="1"/>
    <col min="7" max="7" width="24" customWidth="1"/>
    <col min="8" max="8" width="20" customWidth="1"/>
    <col min="9" max="9" width="22" customWidth="1"/>
    <col min="10" max="10" width="42" customWidth="1"/>
    <col min="11" max="11" width="24" customWidth="1"/>
    <col min="12" max="12" width="14" customWidth="1"/>
    <col min="13" max="13" width="30" customWidth="1"/>
    <col min="14" max="14" width="34" customWidth="1"/>
    <col min="15" max="15" width="38" customWidth="1"/>
  </cols>
  <sheetData>
    <row r="1" spans="1:15" ht="28.05" customHeight="1">
      <c r="A1" s="111" t="s">
        <v>892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5" ht="30" customHeight="1">
      <c r="A2" s="112" t="s">
        <v>893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4.049999999999997" customHeight="1">
      <c r="A3" s="19" t="s">
        <v>894</v>
      </c>
      <c r="B3" s="20" t="s">
        <v>895</v>
      </c>
      <c r="C3" s="20" t="s">
        <v>896</v>
      </c>
      <c r="D3" s="20" t="s">
        <v>897</v>
      </c>
      <c r="E3" s="20" t="s">
        <v>898</v>
      </c>
      <c r="F3" s="20" t="s">
        <v>899</v>
      </c>
      <c r="G3" s="20" t="s">
        <v>900</v>
      </c>
      <c r="H3" s="20" t="s">
        <v>901</v>
      </c>
      <c r="I3" s="20" t="s">
        <v>902</v>
      </c>
      <c r="J3" s="20" t="s">
        <v>903</v>
      </c>
      <c r="K3" s="20" t="s">
        <v>904</v>
      </c>
      <c r="L3" s="20" t="s">
        <v>905</v>
      </c>
      <c r="M3" s="20" t="s">
        <v>906</v>
      </c>
      <c r="N3" s="20" t="s">
        <v>907</v>
      </c>
      <c r="O3" s="21" t="s">
        <v>194</v>
      </c>
    </row>
    <row r="4" spans="1:15" ht="30">
      <c r="A4" s="28" t="s">
        <v>908</v>
      </c>
      <c r="B4" s="29" t="s">
        <v>65</v>
      </c>
      <c r="C4" s="29" t="s">
        <v>909</v>
      </c>
      <c r="D4" s="29" t="s">
        <v>910</v>
      </c>
      <c r="E4" s="29" t="s">
        <v>911</v>
      </c>
      <c r="F4" s="29" t="s">
        <v>912</v>
      </c>
      <c r="G4" s="29"/>
      <c r="H4" s="29" t="s">
        <v>913</v>
      </c>
      <c r="I4" s="29"/>
      <c r="J4" s="29" t="s">
        <v>914</v>
      </c>
      <c r="K4" s="29"/>
      <c r="L4" s="29" t="s">
        <v>45</v>
      </c>
      <c r="M4" s="29" t="s">
        <v>915</v>
      </c>
      <c r="N4" s="29" t="s">
        <v>916</v>
      </c>
      <c r="O4" s="30" t="s">
        <v>917</v>
      </c>
    </row>
    <row r="5" spans="1:15" ht="30">
      <c r="A5" s="31" t="s">
        <v>918</v>
      </c>
      <c r="B5" s="32" t="s">
        <v>65</v>
      </c>
      <c r="C5" s="32" t="s">
        <v>919</v>
      </c>
      <c r="D5" s="32" t="s">
        <v>920</v>
      </c>
      <c r="E5" s="32" t="s">
        <v>921</v>
      </c>
      <c r="F5" s="32" t="s">
        <v>922</v>
      </c>
      <c r="G5" s="32" t="s">
        <v>923</v>
      </c>
      <c r="H5" s="32" t="s">
        <v>913</v>
      </c>
      <c r="I5" s="32" t="s">
        <v>924</v>
      </c>
      <c r="J5" s="32" t="s">
        <v>925</v>
      </c>
      <c r="K5" s="32"/>
      <c r="L5" s="32" t="s">
        <v>45</v>
      </c>
      <c r="M5" s="32" t="s">
        <v>926</v>
      </c>
      <c r="N5" s="32" t="s">
        <v>927</v>
      </c>
      <c r="O5" s="33" t="s">
        <v>928</v>
      </c>
    </row>
    <row r="6" spans="1:15" ht="15">
      <c r="A6" s="31" t="s">
        <v>929</v>
      </c>
      <c r="B6" s="32" t="s">
        <v>65</v>
      </c>
      <c r="C6" s="32" t="s">
        <v>694</v>
      </c>
      <c r="D6" s="32" t="s">
        <v>930</v>
      </c>
      <c r="E6" s="32" t="s">
        <v>921</v>
      </c>
      <c r="F6" s="32" t="s">
        <v>931</v>
      </c>
      <c r="G6" s="32" t="s">
        <v>932</v>
      </c>
      <c r="H6" s="32" t="s">
        <v>913</v>
      </c>
      <c r="I6" s="32" t="s">
        <v>694</v>
      </c>
      <c r="J6" s="32" t="s">
        <v>933</v>
      </c>
      <c r="K6" s="32"/>
      <c r="L6" s="32" t="s">
        <v>45</v>
      </c>
      <c r="M6" s="32" t="s">
        <v>926</v>
      </c>
      <c r="N6" s="32" t="s">
        <v>934</v>
      </c>
      <c r="O6" s="33" t="s">
        <v>935</v>
      </c>
    </row>
    <row r="7" spans="1:15" ht="30">
      <c r="A7" s="31" t="s">
        <v>936</v>
      </c>
      <c r="B7" s="32" t="s">
        <v>61</v>
      </c>
      <c r="C7" s="32" t="s">
        <v>937</v>
      </c>
      <c r="D7" s="32" t="s">
        <v>938</v>
      </c>
      <c r="E7" s="32" t="s">
        <v>911</v>
      </c>
      <c r="F7" s="32" t="s">
        <v>931</v>
      </c>
      <c r="G7" s="32"/>
      <c r="H7" s="32" t="s">
        <v>939</v>
      </c>
      <c r="I7" s="32"/>
      <c r="J7" s="32" t="s">
        <v>940</v>
      </c>
      <c r="K7" s="32"/>
      <c r="L7" s="32" t="s">
        <v>45</v>
      </c>
      <c r="M7" s="32" t="s">
        <v>915</v>
      </c>
      <c r="N7" s="32" t="s">
        <v>941</v>
      </c>
      <c r="O7" s="33" t="s">
        <v>942</v>
      </c>
    </row>
    <row r="8" spans="1:15" ht="15">
      <c r="A8" s="31" t="s">
        <v>943</v>
      </c>
      <c r="B8" s="32" t="s">
        <v>61</v>
      </c>
      <c r="C8" s="32" t="s">
        <v>726</v>
      </c>
      <c r="D8" s="32" t="s">
        <v>930</v>
      </c>
      <c r="E8" s="32" t="s">
        <v>921</v>
      </c>
      <c r="F8" s="32" t="s">
        <v>944</v>
      </c>
      <c r="G8" s="32" t="s">
        <v>945</v>
      </c>
      <c r="H8" s="32" t="s">
        <v>939</v>
      </c>
      <c r="I8" s="32" t="s">
        <v>726</v>
      </c>
      <c r="J8" s="32" t="s">
        <v>946</v>
      </c>
      <c r="K8" s="32"/>
      <c r="L8" s="32" t="s">
        <v>45</v>
      </c>
      <c r="M8" s="32" t="s">
        <v>926</v>
      </c>
      <c r="N8" s="32" t="s">
        <v>934</v>
      </c>
      <c r="O8" s="33" t="s">
        <v>947</v>
      </c>
    </row>
    <row r="9" spans="1:15" ht="15">
      <c r="A9" s="31" t="s">
        <v>948</v>
      </c>
      <c r="B9" s="32" t="s">
        <v>61</v>
      </c>
      <c r="C9" s="32" t="s">
        <v>727</v>
      </c>
      <c r="D9" s="32" t="s">
        <v>930</v>
      </c>
      <c r="E9" s="32" t="s">
        <v>921</v>
      </c>
      <c r="F9" s="32" t="s">
        <v>912</v>
      </c>
      <c r="G9" s="32" t="s">
        <v>949</v>
      </c>
      <c r="H9" s="32" t="s">
        <v>939</v>
      </c>
      <c r="I9" s="32" t="s">
        <v>727</v>
      </c>
      <c r="J9" s="32" t="s">
        <v>946</v>
      </c>
      <c r="K9" s="32"/>
      <c r="L9" s="32" t="s">
        <v>45</v>
      </c>
      <c r="M9" s="32" t="s">
        <v>926</v>
      </c>
      <c r="N9" s="32" t="s">
        <v>950</v>
      </c>
      <c r="O9" s="33" t="s">
        <v>951</v>
      </c>
    </row>
    <row r="10" spans="1:15" ht="30">
      <c r="A10" s="31" t="s">
        <v>952</v>
      </c>
      <c r="B10" s="32" t="s">
        <v>54</v>
      </c>
      <c r="C10" s="32" t="s">
        <v>953</v>
      </c>
      <c r="D10" s="32" t="s">
        <v>954</v>
      </c>
      <c r="E10" s="32" t="s">
        <v>911</v>
      </c>
      <c r="F10" s="32" t="s">
        <v>955</v>
      </c>
      <c r="G10" s="32"/>
      <c r="H10" s="32" t="s">
        <v>956</v>
      </c>
      <c r="I10" s="32"/>
      <c r="J10" s="32" t="s">
        <v>957</v>
      </c>
      <c r="K10" s="32"/>
      <c r="L10" s="32" t="s">
        <v>45</v>
      </c>
      <c r="M10" s="32" t="s">
        <v>915</v>
      </c>
      <c r="N10" s="32" t="s">
        <v>941</v>
      </c>
      <c r="O10" s="33" t="s">
        <v>958</v>
      </c>
    </row>
    <row r="11" spans="1:15" ht="15">
      <c r="A11" s="31" t="s">
        <v>959</v>
      </c>
      <c r="B11" s="32" t="s">
        <v>54</v>
      </c>
      <c r="C11" s="32" t="s">
        <v>819</v>
      </c>
      <c r="D11" s="32" t="s">
        <v>930</v>
      </c>
      <c r="E11" s="32" t="s">
        <v>921</v>
      </c>
      <c r="F11" s="32" t="s">
        <v>960</v>
      </c>
      <c r="G11" s="32" t="s">
        <v>961</v>
      </c>
      <c r="H11" s="32" t="s">
        <v>956</v>
      </c>
      <c r="I11" s="32" t="s">
        <v>819</v>
      </c>
      <c r="J11" s="32" t="s">
        <v>946</v>
      </c>
      <c r="K11" s="32"/>
      <c r="L11" s="32" t="s">
        <v>45</v>
      </c>
      <c r="M11" s="32" t="s">
        <v>926</v>
      </c>
      <c r="N11" s="32" t="s">
        <v>962</v>
      </c>
      <c r="O11" s="33" t="s">
        <v>963</v>
      </c>
    </row>
    <row r="12" spans="1:15" ht="15">
      <c r="A12" s="31" t="s">
        <v>964</v>
      </c>
      <c r="B12" s="32" t="s">
        <v>54</v>
      </c>
      <c r="C12" s="32" t="s">
        <v>820</v>
      </c>
      <c r="D12" s="32" t="s">
        <v>930</v>
      </c>
      <c r="E12" s="32" t="s">
        <v>921</v>
      </c>
      <c r="F12" s="32"/>
      <c r="G12" s="32" t="s">
        <v>965</v>
      </c>
      <c r="H12" s="32" t="s">
        <v>956</v>
      </c>
      <c r="I12" s="32" t="s">
        <v>820</v>
      </c>
      <c r="J12" s="32" t="s">
        <v>946</v>
      </c>
      <c r="K12" s="32"/>
      <c r="L12" s="32" t="s">
        <v>45</v>
      </c>
      <c r="M12" s="32" t="s">
        <v>926</v>
      </c>
      <c r="N12" s="32" t="s">
        <v>966</v>
      </c>
      <c r="O12" s="33" t="s">
        <v>967</v>
      </c>
    </row>
    <row r="13" spans="1:15" ht="15">
      <c r="A13" s="31" t="s">
        <v>968</v>
      </c>
      <c r="B13" s="32" t="s">
        <v>54</v>
      </c>
      <c r="C13" s="32" t="s">
        <v>727</v>
      </c>
      <c r="D13" s="32" t="s">
        <v>930</v>
      </c>
      <c r="E13" s="32" t="s">
        <v>921</v>
      </c>
      <c r="F13" s="32" t="s">
        <v>912</v>
      </c>
      <c r="G13" s="32" t="s">
        <v>969</v>
      </c>
      <c r="H13" s="32" t="s">
        <v>956</v>
      </c>
      <c r="I13" s="32" t="s">
        <v>727</v>
      </c>
      <c r="J13" s="32" t="s">
        <v>946</v>
      </c>
      <c r="K13" s="32"/>
      <c r="L13" s="32" t="s">
        <v>45</v>
      </c>
      <c r="M13" s="32" t="s">
        <v>926</v>
      </c>
      <c r="N13" s="32" t="s">
        <v>934</v>
      </c>
      <c r="O13" s="33" t="s">
        <v>970</v>
      </c>
    </row>
    <row r="14" spans="1:15" ht="15">
      <c r="A14" s="31" t="s">
        <v>971</v>
      </c>
      <c r="B14" s="32" t="s">
        <v>54</v>
      </c>
      <c r="C14" s="32" t="s">
        <v>823</v>
      </c>
      <c r="D14" s="32" t="s">
        <v>930</v>
      </c>
      <c r="E14" s="32" t="s">
        <v>921</v>
      </c>
      <c r="F14" s="32"/>
      <c r="G14" s="32" t="s">
        <v>972</v>
      </c>
      <c r="H14" s="32" t="s">
        <v>956</v>
      </c>
      <c r="I14" s="32" t="s">
        <v>823</v>
      </c>
      <c r="J14" s="32" t="s">
        <v>973</v>
      </c>
      <c r="K14" s="32"/>
      <c r="L14" s="32" t="s">
        <v>45</v>
      </c>
      <c r="M14" s="32" t="s">
        <v>926</v>
      </c>
      <c r="N14" s="32" t="s">
        <v>934</v>
      </c>
      <c r="O14" s="33" t="s">
        <v>974</v>
      </c>
    </row>
    <row r="15" spans="1:15" ht="30">
      <c r="A15" s="31" t="s">
        <v>975</v>
      </c>
      <c r="B15" s="32" t="s">
        <v>58</v>
      </c>
      <c r="C15" s="32" t="s">
        <v>976</v>
      </c>
      <c r="D15" s="32" t="s">
        <v>977</v>
      </c>
      <c r="E15" s="32" t="s">
        <v>911</v>
      </c>
      <c r="F15" s="32" t="s">
        <v>944</v>
      </c>
      <c r="G15" s="32"/>
      <c r="H15" s="32" t="s">
        <v>978</v>
      </c>
      <c r="I15" s="32"/>
      <c r="J15" s="32" t="s">
        <v>979</v>
      </c>
      <c r="K15" s="32"/>
      <c r="L15" s="32" t="s">
        <v>45</v>
      </c>
      <c r="M15" s="32" t="s">
        <v>915</v>
      </c>
      <c r="N15" s="32" t="s">
        <v>980</v>
      </c>
      <c r="O15" s="33" t="s">
        <v>981</v>
      </c>
    </row>
    <row r="16" spans="1:15" ht="15">
      <c r="A16" s="31" t="s">
        <v>982</v>
      </c>
      <c r="B16" s="32" t="s">
        <v>58</v>
      </c>
      <c r="C16" s="32" t="s">
        <v>983</v>
      </c>
      <c r="D16" s="32" t="s">
        <v>930</v>
      </c>
      <c r="E16" s="32" t="s">
        <v>921</v>
      </c>
      <c r="F16" s="32"/>
      <c r="G16" s="32" t="s">
        <v>984</v>
      </c>
      <c r="H16" s="32" t="s">
        <v>978</v>
      </c>
      <c r="I16" s="32" t="s">
        <v>983</v>
      </c>
      <c r="J16" s="32" t="s">
        <v>946</v>
      </c>
      <c r="K16" s="32"/>
      <c r="L16" s="32" t="s">
        <v>45</v>
      </c>
      <c r="M16" s="32" t="s">
        <v>926</v>
      </c>
      <c r="N16" s="32" t="s">
        <v>985</v>
      </c>
      <c r="O16" s="33" t="s">
        <v>986</v>
      </c>
    </row>
    <row r="17" spans="1:15" ht="15">
      <c r="A17" s="31" t="s">
        <v>987</v>
      </c>
      <c r="B17" s="32" t="s">
        <v>58</v>
      </c>
      <c r="C17" s="32" t="s">
        <v>834</v>
      </c>
      <c r="D17" s="32" t="s">
        <v>930</v>
      </c>
      <c r="E17" s="32" t="s">
        <v>921</v>
      </c>
      <c r="F17" s="32" t="s">
        <v>931</v>
      </c>
      <c r="G17" s="32" t="s">
        <v>945</v>
      </c>
      <c r="H17" s="32" t="s">
        <v>978</v>
      </c>
      <c r="I17" s="32" t="s">
        <v>834</v>
      </c>
      <c r="J17" s="32" t="s">
        <v>946</v>
      </c>
      <c r="K17" s="32"/>
      <c r="L17" s="32" t="s">
        <v>45</v>
      </c>
      <c r="M17" s="32" t="s">
        <v>926</v>
      </c>
      <c r="N17" s="32" t="s">
        <v>934</v>
      </c>
      <c r="O17" s="33" t="s">
        <v>988</v>
      </c>
    </row>
    <row r="18" spans="1:15" ht="15">
      <c r="A18" s="31" t="s">
        <v>989</v>
      </c>
      <c r="B18" s="32" t="s">
        <v>58</v>
      </c>
      <c r="C18" s="32" t="s">
        <v>835</v>
      </c>
      <c r="D18" s="32" t="s">
        <v>930</v>
      </c>
      <c r="E18" s="32" t="s">
        <v>921</v>
      </c>
      <c r="F18" s="32" t="s">
        <v>944</v>
      </c>
      <c r="G18" s="32" t="s">
        <v>990</v>
      </c>
      <c r="H18" s="32" t="s">
        <v>978</v>
      </c>
      <c r="I18" s="32" t="s">
        <v>835</v>
      </c>
      <c r="J18" s="32" t="s">
        <v>946</v>
      </c>
      <c r="K18" s="32" t="s">
        <v>990</v>
      </c>
      <c r="L18" s="32" t="s">
        <v>45</v>
      </c>
      <c r="M18" s="32" t="s">
        <v>926</v>
      </c>
      <c r="N18" s="32" t="s">
        <v>991</v>
      </c>
      <c r="O18" s="33" t="s">
        <v>992</v>
      </c>
    </row>
    <row r="19" spans="1:15" ht="30">
      <c r="A19" s="31" t="s">
        <v>993</v>
      </c>
      <c r="B19" s="32" t="s">
        <v>83</v>
      </c>
      <c r="C19" s="32" t="s">
        <v>994</v>
      </c>
      <c r="D19" s="32" t="s">
        <v>995</v>
      </c>
      <c r="E19" s="32" t="s">
        <v>911</v>
      </c>
      <c r="F19" s="32" t="s">
        <v>85</v>
      </c>
      <c r="G19" s="32"/>
      <c r="H19" s="32" t="s">
        <v>994</v>
      </c>
      <c r="I19" s="32"/>
      <c r="J19" s="32" t="s">
        <v>996</v>
      </c>
      <c r="K19" s="32"/>
      <c r="L19" s="32" t="s">
        <v>45</v>
      </c>
      <c r="M19" s="32" t="s">
        <v>997</v>
      </c>
      <c r="N19" s="32" t="s">
        <v>998</v>
      </c>
      <c r="O19" s="33" t="s">
        <v>999</v>
      </c>
    </row>
    <row r="20" spans="1:15" ht="15">
      <c r="A20" s="31" t="s">
        <v>1000</v>
      </c>
      <c r="B20" s="32" t="s">
        <v>83</v>
      </c>
      <c r="C20" s="32" t="s">
        <v>1001</v>
      </c>
      <c r="D20" s="32" t="s">
        <v>930</v>
      </c>
      <c r="E20" s="32" t="s">
        <v>921</v>
      </c>
      <c r="F20" s="32"/>
      <c r="G20" s="32" t="s">
        <v>1002</v>
      </c>
      <c r="H20" s="32" t="s">
        <v>994</v>
      </c>
      <c r="I20" s="32" t="s">
        <v>1001</v>
      </c>
      <c r="J20" s="32" t="s">
        <v>1003</v>
      </c>
      <c r="K20" s="32"/>
      <c r="L20" s="32" t="s">
        <v>45</v>
      </c>
      <c r="M20" s="32" t="s">
        <v>1004</v>
      </c>
      <c r="N20" s="32" t="s">
        <v>1005</v>
      </c>
      <c r="O20" s="33" t="s">
        <v>1006</v>
      </c>
    </row>
    <row r="21" spans="1:15" ht="15">
      <c r="A21" s="31" t="s">
        <v>1007</v>
      </c>
      <c r="B21" s="32" t="s">
        <v>83</v>
      </c>
      <c r="C21" s="32" t="s">
        <v>1008</v>
      </c>
      <c r="D21" s="32" t="s">
        <v>930</v>
      </c>
      <c r="E21" s="32" t="s">
        <v>921</v>
      </c>
      <c r="F21" s="32"/>
      <c r="G21" s="32" t="s">
        <v>1009</v>
      </c>
      <c r="H21" s="32" t="s">
        <v>994</v>
      </c>
      <c r="I21" s="32" t="s">
        <v>1008</v>
      </c>
      <c r="J21" s="32" t="s">
        <v>1010</v>
      </c>
      <c r="K21" s="32"/>
      <c r="L21" s="32" t="s">
        <v>45</v>
      </c>
      <c r="M21" s="32" t="s">
        <v>1004</v>
      </c>
      <c r="N21" s="32" t="s">
        <v>1005</v>
      </c>
      <c r="O21" s="33" t="s">
        <v>1011</v>
      </c>
    </row>
    <row r="22" spans="1:15" ht="30">
      <c r="A22" s="31" t="s">
        <v>1012</v>
      </c>
      <c r="B22" s="32" t="s">
        <v>86</v>
      </c>
      <c r="C22" s="32" t="s">
        <v>1013</v>
      </c>
      <c r="D22" s="32" t="s">
        <v>1014</v>
      </c>
      <c r="E22" s="32" t="s">
        <v>911</v>
      </c>
      <c r="F22" s="32" t="s">
        <v>88</v>
      </c>
      <c r="G22" s="32"/>
      <c r="H22" s="32" t="s">
        <v>1013</v>
      </c>
      <c r="I22" s="32"/>
      <c r="J22" s="32" t="s">
        <v>1015</v>
      </c>
      <c r="K22" s="32"/>
      <c r="L22" s="32" t="s">
        <v>45</v>
      </c>
      <c r="M22" s="32" t="s">
        <v>1016</v>
      </c>
      <c r="N22" s="32" t="s">
        <v>1017</v>
      </c>
      <c r="O22" s="33" t="s">
        <v>1018</v>
      </c>
    </row>
    <row r="23" spans="1:15" ht="15">
      <c r="A23" s="31" t="s">
        <v>1019</v>
      </c>
      <c r="B23" s="32" t="s">
        <v>86</v>
      </c>
      <c r="C23" s="32" t="s">
        <v>869</v>
      </c>
      <c r="D23" s="32" t="s">
        <v>930</v>
      </c>
      <c r="E23" s="32" t="s">
        <v>921</v>
      </c>
      <c r="F23" s="32" t="s">
        <v>912</v>
      </c>
      <c r="G23" s="32" t="s">
        <v>1020</v>
      </c>
      <c r="H23" s="32" t="s">
        <v>1013</v>
      </c>
      <c r="I23" s="32" t="s">
        <v>869</v>
      </c>
      <c r="J23" s="32" t="s">
        <v>1021</v>
      </c>
      <c r="K23" s="32"/>
      <c r="L23" s="32" t="s">
        <v>45</v>
      </c>
      <c r="M23" s="32" t="s">
        <v>1022</v>
      </c>
      <c r="N23" s="32" t="s">
        <v>934</v>
      </c>
      <c r="O23" s="33" t="s">
        <v>1023</v>
      </c>
    </row>
    <row r="24" spans="1:15" ht="45">
      <c r="A24" s="31" t="s">
        <v>1024</v>
      </c>
      <c r="B24" s="32" t="s">
        <v>86</v>
      </c>
      <c r="C24" s="32" t="s">
        <v>1025</v>
      </c>
      <c r="D24" s="32" t="s">
        <v>930</v>
      </c>
      <c r="E24" s="32" t="s">
        <v>921</v>
      </c>
      <c r="F24" s="32"/>
      <c r="G24" s="32" t="s">
        <v>1026</v>
      </c>
      <c r="H24" s="32" t="s">
        <v>1013</v>
      </c>
      <c r="I24" s="32" t="s">
        <v>1027</v>
      </c>
      <c r="J24" s="32" t="s">
        <v>1028</v>
      </c>
      <c r="K24" s="32"/>
      <c r="L24" s="32" t="s">
        <v>45</v>
      </c>
      <c r="M24" s="32" t="s">
        <v>1022</v>
      </c>
      <c r="N24" s="32" t="s">
        <v>1029</v>
      </c>
      <c r="O24" s="33" t="s">
        <v>1030</v>
      </c>
    </row>
    <row r="25" spans="1:15" ht="15">
      <c r="A25" s="31" t="s">
        <v>1031</v>
      </c>
      <c r="B25" s="32" t="s">
        <v>86</v>
      </c>
      <c r="C25" s="32" t="s">
        <v>1032</v>
      </c>
      <c r="D25" s="32" t="s">
        <v>930</v>
      </c>
      <c r="E25" s="32" t="s">
        <v>921</v>
      </c>
      <c r="F25" s="32" t="s">
        <v>1033</v>
      </c>
      <c r="G25" s="32" t="s">
        <v>1034</v>
      </c>
      <c r="H25" s="32" t="s">
        <v>1013</v>
      </c>
      <c r="I25" s="32" t="s">
        <v>1035</v>
      </c>
      <c r="J25" s="32" t="s">
        <v>1036</v>
      </c>
      <c r="K25" s="32"/>
      <c r="L25" s="32" t="s">
        <v>45</v>
      </c>
      <c r="M25" s="32" t="s">
        <v>1037</v>
      </c>
      <c r="N25" s="32" t="s">
        <v>1038</v>
      </c>
      <c r="O25" s="33" t="s">
        <v>1039</v>
      </c>
    </row>
    <row r="26" spans="1:15" ht="30">
      <c r="A26" s="34" t="s">
        <v>1040</v>
      </c>
      <c r="B26" s="35" t="s">
        <v>68</v>
      </c>
      <c r="C26" s="35" t="s">
        <v>1041</v>
      </c>
      <c r="D26" s="35" t="s">
        <v>1042</v>
      </c>
      <c r="E26" s="35" t="s">
        <v>921</v>
      </c>
      <c r="F26" s="35" t="s">
        <v>912</v>
      </c>
      <c r="G26" s="35" t="s">
        <v>1043</v>
      </c>
      <c r="H26" s="35" t="s">
        <v>1044</v>
      </c>
      <c r="I26" s="35" t="s">
        <v>1045</v>
      </c>
      <c r="J26" s="35" t="s">
        <v>1046</v>
      </c>
      <c r="K26" s="35" t="s">
        <v>1047</v>
      </c>
      <c r="L26" s="35" t="s">
        <v>45</v>
      </c>
      <c r="M26" s="35" t="s">
        <v>1048</v>
      </c>
      <c r="N26" s="35" t="s">
        <v>1049</v>
      </c>
      <c r="O26" s="36" t="s">
        <v>1050</v>
      </c>
    </row>
    <row r="27" spans="1:15" ht="15">
      <c r="A27" s="49" t="s">
        <v>1051</v>
      </c>
      <c r="B27" s="49" t="s">
        <v>71</v>
      </c>
      <c r="C27" s="49" t="s">
        <v>1052</v>
      </c>
      <c r="D27" s="49" t="s">
        <v>1053</v>
      </c>
      <c r="E27" s="49" t="s">
        <v>911</v>
      </c>
      <c r="F27" s="49" t="s">
        <v>1054</v>
      </c>
      <c r="G27" s="49"/>
      <c r="H27" s="49" t="s">
        <v>1055</v>
      </c>
      <c r="I27" s="49"/>
      <c r="J27" s="49" t="s">
        <v>1056</v>
      </c>
      <c r="K27" s="49"/>
      <c r="L27" s="49" t="s">
        <v>45</v>
      </c>
      <c r="M27" s="49" t="s">
        <v>915</v>
      </c>
      <c r="N27" s="49" t="s">
        <v>1057</v>
      </c>
      <c r="O27" s="25"/>
    </row>
    <row r="28" spans="1:15" ht="15">
      <c r="A28" s="49" t="s">
        <v>1058</v>
      </c>
      <c r="B28" s="49" t="s">
        <v>71</v>
      </c>
      <c r="C28" s="49" t="s">
        <v>717</v>
      </c>
      <c r="D28" s="49" t="s">
        <v>930</v>
      </c>
      <c r="E28" s="49" t="s">
        <v>921</v>
      </c>
      <c r="F28" s="49" t="s">
        <v>912</v>
      </c>
      <c r="G28" s="49" t="s">
        <v>1020</v>
      </c>
      <c r="H28" s="49" t="s">
        <v>1055</v>
      </c>
      <c r="I28" s="49" t="s">
        <v>717</v>
      </c>
      <c r="J28" s="49" t="s">
        <v>1059</v>
      </c>
      <c r="K28" s="49"/>
      <c r="L28" s="49" t="s">
        <v>45</v>
      </c>
      <c r="M28" s="49" t="s">
        <v>1060</v>
      </c>
      <c r="N28" s="49" t="s">
        <v>934</v>
      </c>
      <c r="O28" s="25"/>
    </row>
    <row r="29" spans="1:15" ht="26.4">
      <c r="A29" s="49" t="s">
        <v>1061</v>
      </c>
      <c r="B29" s="49" t="s">
        <v>90</v>
      </c>
      <c r="C29" s="49" t="s">
        <v>1062</v>
      </c>
      <c r="D29" s="49" t="s">
        <v>1063</v>
      </c>
      <c r="E29" s="49" t="s">
        <v>911</v>
      </c>
      <c r="F29" s="49" t="s">
        <v>92</v>
      </c>
      <c r="G29" s="49"/>
      <c r="H29" s="49" t="s">
        <v>1064</v>
      </c>
      <c r="I29" s="49"/>
      <c r="J29" s="49" t="s">
        <v>1065</v>
      </c>
      <c r="K29" s="49"/>
      <c r="L29" s="49" t="s">
        <v>45</v>
      </c>
      <c r="M29" s="49" t="s">
        <v>1066</v>
      </c>
      <c r="N29" s="49" t="s">
        <v>1067</v>
      </c>
      <c r="O29" s="25"/>
    </row>
    <row r="30" spans="1:15" ht="15">
      <c r="A30" s="49" t="s">
        <v>1068</v>
      </c>
      <c r="B30" s="49" t="s">
        <v>90</v>
      </c>
      <c r="C30" s="49" t="s">
        <v>1069</v>
      </c>
      <c r="D30" s="49" t="s">
        <v>1070</v>
      </c>
      <c r="E30" s="49" t="s">
        <v>921</v>
      </c>
      <c r="F30" s="49"/>
      <c r="G30" s="49" t="s">
        <v>1071</v>
      </c>
      <c r="H30" s="49" t="s">
        <v>1064</v>
      </c>
      <c r="I30" s="49" t="s">
        <v>1072</v>
      </c>
      <c r="J30" s="49" t="s">
        <v>1073</v>
      </c>
      <c r="K30" s="49"/>
      <c r="L30" s="49" t="s">
        <v>45</v>
      </c>
      <c r="M30" s="49" t="s">
        <v>1074</v>
      </c>
      <c r="N30" s="49" t="s">
        <v>1075</v>
      </c>
      <c r="O30" s="25"/>
    </row>
    <row r="31" spans="1:15" ht="30">
      <c r="A31" s="68" t="s">
        <v>1076</v>
      </c>
      <c r="B31" s="68" t="s">
        <v>51</v>
      </c>
      <c r="C31" s="68" t="s">
        <v>1077</v>
      </c>
      <c r="D31" s="68" t="s">
        <v>1078</v>
      </c>
      <c r="E31" s="68" t="s">
        <v>911</v>
      </c>
      <c r="F31" s="68" t="s">
        <v>53</v>
      </c>
      <c r="G31" s="68"/>
      <c r="H31" s="68" t="s">
        <v>1079</v>
      </c>
      <c r="I31" s="68"/>
      <c r="J31" s="68" t="s">
        <v>1080</v>
      </c>
      <c r="K31" s="68"/>
      <c r="L31" s="68" t="s">
        <v>45</v>
      </c>
      <c r="M31" s="68" t="s">
        <v>1048</v>
      </c>
      <c r="N31" s="68" t="s">
        <v>1081</v>
      </c>
      <c r="O31" s="68" t="s">
        <v>1082</v>
      </c>
    </row>
    <row r="32" spans="1:15" ht="15">
      <c r="A32" s="68" t="s">
        <v>1083</v>
      </c>
      <c r="B32" s="68" t="s">
        <v>51</v>
      </c>
      <c r="C32" s="68" t="s">
        <v>1084</v>
      </c>
      <c r="D32" s="68" t="s">
        <v>930</v>
      </c>
      <c r="E32" s="68" t="s">
        <v>921</v>
      </c>
      <c r="F32" s="68"/>
      <c r="G32" s="68" t="s">
        <v>1085</v>
      </c>
      <c r="H32" s="68" t="s">
        <v>1079</v>
      </c>
      <c r="I32" s="68" t="s">
        <v>1084</v>
      </c>
      <c r="J32" s="68" t="s">
        <v>1086</v>
      </c>
      <c r="K32" s="68"/>
      <c r="L32" s="68" t="s">
        <v>45</v>
      </c>
      <c r="M32" s="68" t="s">
        <v>1087</v>
      </c>
      <c r="N32" s="68" t="s">
        <v>1088</v>
      </c>
      <c r="O32" s="68" t="s">
        <v>1089</v>
      </c>
    </row>
    <row r="33" spans="1:15" ht="30">
      <c r="A33" s="68" t="s">
        <v>1090</v>
      </c>
      <c r="B33" s="68" t="s">
        <v>75</v>
      </c>
      <c r="C33" s="68" t="s">
        <v>1091</v>
      </c>
      <c r="D33" s="68" t="s">
        <v>1092</v>
      </c>
      <c r="E33" s="68" t="s">
        <v>911</v>
      </c>
      <c r="F33" s="68" t="s">
        <v>1093</v>
      </c>
      <c r="G33" s="68"/>
      <c r="H33" s="68" t="s">
        <v>1094</v>
      </c>
      <c r="I33" s="68"/>
      <c r="J33" s="68" t="s">
        <v>1095</v>
      </c>
      <c r="K33" s="68"/>
      <c r="L33" s="68" t="s">
        <v>45</v>
      </c>
      <c r="M33" s="68" t="s">
        <v>1048</v>
      </c>
      <c r="N33" s="68" t="s">
        <v>980</v>
      </c>
      <c r="O33" s="68" t="s">
        <v>1096</v>
      </c>
    </row>
    <row r="34" spans="1:15" ht="30">
      <c r="A34" s="68" t="s">
        <v>1097</v>
      </c>
      <c r="B34" s="68" t="s">
        <v>75</v>
      </c>
      <c r="C34" s="68" t="s">
        <v>1098</v>
      </c>
      <c r="D34" s="68" t="s">
        <v>930</v>
      </c>
      <c r="E34" s="68" t="s">
        <v>921</v>
      </c>
      <c r="F34" s="68"/>
      <c r="G34" s="68" t="s">
        <v>1099</v>
      </c>
      <c r="H34" s="68" t="s">
        <v>1094</v>
      </c>
      <c r="I34" s="68" t="s">
        <v>1100</v>
      </c>
      <c r="J34" s="68" t="s">
        <v>1101</v>
      </c>
      <c r="K34" s="68"/>
      <c r="L34" s="68" t="s">
        <v>45</v>
      </c>
      <c r="M34" s="68" t="s">
        <v>1102</v>
      </c>
      <c r="N34" s="68" t="s">
        <v>1103</v>
      </c>
      <c r="O34" s="68" t="s">
        <v>1104</v>
      </c>
    </row>
    <row r="35" spans="1:15" ht="30">
      <c r="A35" s="68" t="s">
        <v>1105</v>
      </c>
      <c r="B35" s="68" t="s">
        <v>75</v>
      </c>
      <c r="C35" s="68" t="s">
        <v>834</v>
      </c>
      <c r="D35" s="68" t="s">
        <v>930</v>
      </c>
      <c r="E35" s="68" t="s">
        <v>921</v>
      </c>
      <c r="F35" s="68" t="s">
        <v>931</v>
      </c>
      <c r="G35" s="68" t="s">
        <v>945</v>
      </c>
      <c r="H35" s="68" t="s">
        <v>1094</v>
      </c>
      <c r="I35" s="68" t="s">
        <v>834</v>
      </c>
      <c r="J35" s="68" t="s">
        <v>1106</v>
      </c>
      <c r="K35" s="68"/>
      <c r="L35" s="68" t="s">
        <v>45</v>
      </c>
      <c r="M35" s="68" t="s">
        <v>1102</v>
      </c>
      <c r="N35" s="68" t="s">
        <v>934</v>
      </c>
      <c r="O35" s="68"/>
    </row>
    <row r="36" spans="1:15" ht="30">
      <c r="A36" s="68" t="s">
        <v>1107</v>
      </c>
      <c r="B36" s="68" t="s">
        <v>75</v>
      </c>
      <c r="C36" s="68" t="s">
        <v>695</v>
      </c>
      <c r="D36" s="68" t="s">
        <v>930</v>
      </c>
      <c r="E36" s="68" t="s">
        <v>921</v>
      </c>
      <c r="F36" s="68" t="s">
        <v>955</v>
      </c>
      <c r="G36" s="68" t="s">
        <v>932</v>
      </c>
      <c r="H36" s="68" t="s">
        <v>1094</v>
      </c>
      <c r="I36" s="68" t="s">
        <v>695</v>
      </c>
      <c r="J36" s="68" t="s">
        <v>1106</v>
      </c>
      <c r="K36" s="68"/>
      <c r="L36" s="68" t="s">
        <v>45</v>
      </c>
      <c r="M36" s="68" t="s">
        <v>1102</v>
      </c>
      <c r="N36" s="68" t="s">
        <v>1108</v>
      </c>
      <c r="O36" s="68" t="s">
        <v>1109</v>
      </c>
    </row>
    <row r="37" spans="1:15" ht="30">
      <c r="A37" s="68" t="s">
        <v>1110</v>
      </c>
      <c r="B37" s="68" t="s">
        <v>94</v>
      </c>
      <c r="C37" s="68" t="s">
        <v>1111</v>
      </c>
      <c r="D37" s="68" t="s">
        <v>1112</v>
      </c>
      <c r="E37" s="68" t="s">
        <v>911</v>
      </c>
      <c r="F37" s="68" t="s">
        <v>96</v>
      </c>
      <c r="G37" s="68"/>
      <c r="H37" s="68" t="s">
        <v>1113</v>
      </c>
      <c r="I37" s="68"/>
      <c r="J37" s="68" t="s">
        <v>1114</v>
      </c>
      <c r="K37" s="68"/>
      <c r="L37" s="68" t="s">
        <v>45</v>
      </c>
      <c r="M37" s="68" t="s">
        <v>1115</v>
      </c>
      <c r="N37" s="68" t="s">
        <v>1116</v>
      </c>
      <c r="O37" s="68" t="s">
        <v>1117</v>
      </c>
    </row>
    <row r="38" spans="1:15" ht="30">
      <c r="A38" s="68" t="s">
        <v>1118</v>
      </c>
      <c r="B38" s="68" t="s">
        <v>97</v>
      </c>
      <c r="C38" s="68" t="s">
        <v>1119</v>
      </c>
      <c r="D38" s="68" t="s">
        <v>1120</v>
      </c>
      <c r="E38" s="68" t="s">
        <v>921</v>
      </c>
      <c r="F38" s="68"/>
      <c r="G38" s="68" t="s">
        <v>1034</v>
      </c>
      <c r="H38" s="68" t="s">
        <v>1113</v>
      </c>
      <c r="I38" s="68" t="s">
        <v>1121</v>
      </c>
      <c r="J38" s="68" t="s">
        <v>1122</v>
      </c>
      <c r="K38" s="68"/>
      <c r="L38" s="68" t="s">
        <v>45</v>
      </c>
      <c r="M38" s="68" t="s">
        <v>1123</v>
      </c>
      <c r="N38" s="68" t="s">
        <v>1124</v>
      </c>
      <c r="O38" s="68" t="s">
        <v>1125</v>
      </c>
    </row>
    <row r="39" spans="1:15" ht="30">
      <c r="A39" s="75" t="s">
        <v>1126</v>
      </c>
      <c r="B39" s="75" t="s">
        <v>79</v>
      </c>
      <c r="C39" s="75" t="s">
        <v>1127</v>
      </c>
      <c r="D39" s="75" t="s">
        <v>1128</v>
      </c>
      <c r="E39" s="75" t="s">
        <v>911</v>
      </c>
      <c r="F39" s="75" t="s">
        <v>1129</v>
      </c>
      <c r="G39" s="75"/>
      <c r="H39" s="75" t="s">
        <v>1130</v>
      </c>
      <c r="I39" s="75"/>
      <c r="J39" s="75" t="s">
        <v>1131</v>
      </c>
      <c r="K39" s="75"/>
      <c r="L39" s="75" t="s">
        <v>45</v>
      </c>
      <c r="M39" s="75" t="s">
        <v>1132</v>
      </c>
      <c r="N39" s="75" t="s">
        <v>1133</v>
      </c>
      <c r="O39" s="75" t="s">
        <v>1134</v>
      </c>
    </row>
    <row r="40" spans="1:15" ht="30">
      <c r="A40" s="75" t="s">
        <v>1135</v>
      </c>
      <c r="B40" s="75" t="s">
        <v>79</v>
      </c>
      <c r="C40" s="75" t="s">
        <v>191</v>
      </c>
      <c r="D40" s="75" t="s">
        <v>930</v>
      </c>
      <c r="E40" s="75" t="s">
        <v>921</v>
      </c>
      <c r="F40" s="75"/>
      <c r="G40" s="75" t="s">
        <v>1136</v>
      </c>
      <c r="H40" s="75" t="s">
        <v>1130</v>
      </c>
      <c r="I40" s="75" t="s">
        <v>191</v>
      </c>
      <c r="J40" s="75" t="s">
        <v>1137</v>
      </c>
      <c r="K40" s="75"/>
      <c r="L40" s="75" t="s">
        <v>45</v>
      </c>
      <c r="M40" s="75" t="s">
        <v>1138</v>
      </c>
      <c r="N40" s="75" t="s">
        <v>1139</v>
      </c>
      <c r="O40" s="75" t="s">
        <v>1140</v>
      </c>
    </row>
    <row r="41" spans="1:15" ht="30">
      <c r="A41" s="75" t="s">
        <v>1141</v>
      </c>
      <c r="B41" s="75" t="s">
        <v>79</v>
      </c>
      <c r="C41" s="75" t="s">
        <v>585</v>
      </c>
      <c r="D41" s="75" t="s">
        <v>930</v>
      </c>
      <c r="E41" s="75" t="s">
        <v>921</v>
      </c>
      <c r="F41" s="75"/>
      <c r="G41" s="75" t="s">
        <v>1034</v>
      </c>
      <c r="H41" s="75" t="s">
        <v>1130</v>
      </c>
      <c r="I41" s="75" t="s">
        <v>585</v>
      </c>
      <c r="J41" s="75" t="s">
        <v>1142</v>
      </c>
      <c r="K41" s="75"/>
      <c r="L41" s="75" t="s">
        <v>45</v>
      </c>
      <c r="M41" s="75" t="s">
        <v>1143</v>
      </c>
      <c r="N41" s="75" t="s">
        <v>1144</v>
      </c>
      <c r="O41" s="75" t="s">
        <v>1145</v>
      </c>
    </row>
    <row r="42" spans="1:15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1:15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1:15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1:15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1:15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1:15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1:15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1:15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1:15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5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1:15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1:15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1:15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1:15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1:15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1:15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1:15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1:15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1:15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1:15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1:15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1:15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1:15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1:15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</row>
    <row r="138" spans="1:15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1:15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</row>
    <row r="140" spans="1:15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1:15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</row>
    <row r="142" spans="1:15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1:15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</row>
    <row r="144" spans="1:15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1:15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</row>
    <row r="146" spans="1:15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1:15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</row>
    <row r="148" spans="1:15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1:15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1:15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1:15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</row>
    <row r="152" spans="1:15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1:15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</sheetData>
  <mergeCells count="2">
    <mergeCell ref="A1:O1"/>
    <mergeCell ref="A2:O2"/>
  </mergeCells>
  <phoneticPr fontId="49" type="noConversion"/>
  <dataValidations count="2">
    <dataValidation type="list" sqref="E4:E26" xr:uid="{00000000-0002-0000-1000-000000000000}">
      <formula1>"实体,关系,属性"</formula1>
    </dataValidation>
    <dataValidation type="list" sqref="L4:L26" xr:uid="{00000000-0002-0000-1000-000001000000}">
      <formula1>"是,否,人工确认"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1"/>
  <sheetViews>
    <sheetView showGridLines="0" workbookViewId="0"/>
  </sheetViews>
  <sheetFormatPr defaultColWidth="9" defaultRowHeight="13.8"/>
  <cols>
    <col min="1" max="1" width="18" customWidth="1"/>
    <col min="2" max="2" width="24" customWidth="1"/>
    <col min="3" max="3" width="18" customWidth="1"/>
    <col min="4" max="4" width="22" customWidth="1"/>
    <col min="5" max="5" width="38" customWidth="1"/>
    <col min="6" max="6" width="22" customWidth="1"/>
  </cols>
  <sheetData>
    <row r="1" spans="1:5" ht="30" customHeight="1">
      <c r="A1" s="88" t="s">
        <v>1146</v>
      </c>
      <c r="B1" s="88"/>
      <c r="C1" s="88"/>
      <c r="D1" s="88"/>
      <c r="E1" s="88"/>
    </row>
    <row r="2" spans="1:5" ht="30" customHeight="1"/>
    <row r="3" spans="1:5">
      <c r="A3" s="1" t="s">
        <v>1147</v>
      </c>
      <c r="B3" s="1" t="s">
        <v>1148</v>
      </c>
      <c r="C3" s="1" t="s">
        <v>1149</v>
      </c>
      <c r="D3" s="1" t="s">
        <v>1150</v>
      </c>
      <c r="E3" s="1" t="s">
        <v>598</v>
      </c>
    </row>
    <row r="4" spans="1:5">
      <c r="A4" s="2" t="s">
        <v>899</v>
      </c>
      <c r="B4" s="2" t="s">
        <v>912</v>
      </c>
      <c r="C4" s="2" t="s">
        <v>1151</v>
      </c>
      <c r="D4" s="2" t="s">
        <v>101</v>
      </c>
      <c r="E4" s="2" t="s">
        <v>1152</v>
      </c>
    </row>
    <row r="5" spans="1:5">
      <c r="A5" s="2" t="s">
        <v>899</v>
      </c>
      <c r="B5" s="2" t="s">
        <v>1153</v>
      </c>
      <c r="C5" s="2" t="s">
        <v>1154</v>
      </c>
      <c r="D5" s="2" t="s">
        <v>101</v>
      </c>
      <c r="E5" s="2" t="s">
        <v>1152</v>
      </c>
    </row>
    <row r="6" spans="1:5">
      <c r="A6" s="2" t="s">
        <v>899</v>
      </c>
      <c r="B6" s="2" t="s">
        <v>931</v>
      </c>
      <c r="C6" s="2" t="s">
        <v>1155</v>
      </c>
      <c r="D6" s="2" t="s">
        <v>101</v>
      </c>
      <c r="E6" s="2" t="s">
        <v>1152</v>
      </c>
    </row>
    <row r="7" spans="1:5">
      <c r="A7" s="2" t="s">
        <v>899</v>
      </c>
      <c r="B7" s="2" t="s">
        <v>955</v>
      </c>
      <c r="C7" s="2" t="s">
        <v>1156</v>
      </c>
      <c r="D7" s="2" t="s">
        <v>101</v>
      </c>
      <c r="E7" s="2" t="s">
        <v>1152</v>
      </c>
    </row>
    <row r="8" spans="1:5">
      <c r="A8" s="2" t="s">
        <v>899</v>
      </c>
      <c r="B8" s="2" t="s">
        <v>944</v>
      </c>
      <c r="C8" s="2" t="s">
        <v>1157</v>
      </c>
      <c r="D8" s="2" t="s">
        <v>101</v>
      </c>
      <c r="E8" s="2" t="s">
        <v>1152</v>
      </c>
    </row>
    <row r="9" spans="1:5">
      <c r="A9" s="2" t="s">
        <v>899</v>
      </c>
      <c r="B9" s="2" t="s">
        <v>1158</v>
      </c>
      <c r="C9" s="2" t="s">
        <v>1159</v>
      </c>
      <c r="D9" s="2" t="s">
        <v>101</v>
      </c>
      <c r="E9" s="2" t="s">
        <v>1152</v>
      </c>
    </row>
    <row r="10" spans="1:5">
      <c r="A10" s="2" t="s">
        <v>899</v>
      </c>
      <c r="B10" s="2" t="s">
        <v>1160</v>
      </c>
      <c r="C10" s="2" t="s">
        <v>1161</v>
      </c>
      <c r="D10" s="2" t="s">
        <v>101</v>
      </c>
      <c r="E10" s="2" t="s">
        <v>1152</v>
      </c>
    </row>
    <row r="11" spans="1:5">
      <c r="A11" s="2" t="s">
        <v>899</v>
      </c>
      <c r="B11" s="2" t="s">
        <v>1162</v>
      </c>
      <c r="C11" s="2" t="s">
        <v>1163</v>
      </c>
      <c r="D11" s="2" t="s">
        <v>101</v>
      </c>
      <c r="E11" s="2" t="s">
        <v>1152</v>
      </c>
    </row>
    <row r="12" spans="1:5">
      <c r="A12" s="2" t="s">
        <v>899</v>
      </c>
      <c r="B12" s="2" t="s">
        <v>1033</v>
      </c>
      <c r="C12" s="2" t="s">
        <v>1164</v>
      </c>
      <c r="D12" s="2" t="s">
        <v>101</v>
      </c>
      <c r="E12" s="2" t="s">
        <v>1152</v>
      </c>
    </row>
    <row r="13" spans="1:5">
      <c r="A13" s="2" t="s">
        <v>899</v>
      </c>
      <c r="B13" s="2" t="s">
        <v>1165</v>
      </c>
      <c r="C13" s="2" t="s">
        <v>1166</v>
      </c>
      <c r="D13" s="2" t="s">
        <v>101</v>
      </c>
      <c r="E13" s="2" t="s">
        <v>1152</v>
      </c>
    </row>
    <row r="14" spans="1:5">
      <c r="A14" s="2" t="s">
        <v>900</v>
      </c>
      <c r="B14" s="2" t="s">
        <v>1099</v>
      </c>
      <c r="C14" s="2" t="s">
        <v>1167</v>
      </c>
      <c r="D14" s="2" t="s">
        <v>105</v>
      </c>
      <c r="E14" s="2" t="s">
        <v>1168</v>
      </c>
    </row>
    <row r="15" spans="1:5">
      <c r="A15" s="2" t="s">
        <v>900</v>
      </c>
      <c r="B15" s="2" t="s">
        <v>1169</v>
      </c>
      <c r="C15" s="2" t="s">
        <v>1170</v>
      </c>
      <c r="D15" s="2" t="s">
        <v>105</v>
      </c>
      <c r="E15" s="2" t="s">
        <v>1168</v>
      </c>
    </row>
    <row r="16" spans="1:5">
      <c r="A16" s="2" t="s">
        <v>900</v>
      </c>
      <c r="B16" s="2" t="s">
        <v>1171</v>
      </c>
      <c r="C16" s="2" t="s">
        <v>1172</v>
      </c>
      <c r="D16" s="2" t="s">
        <v>105</v>
      </c>
      <c r="E16" s="2" t="s">
        <v>1168</v>
      </c>
    </row>
    <row r="17" spans="1:5">
      <c r="A17" s="2" t="s">
        <v>900</v>
      </c>
      <c r="B17" s="2" t="s">
        <v>1173</v>
      </c>
      <c r="C17" s="2" t="s">
        <v>1174</v>
      </c>
      <c r="D17" s="2" t="s">
        <v>105</v>
      </c>
      <c r="E17" s="2" t="s">
        <v>1168</v>
      </c>
    </row>
    <row r="18" spans="1:5">
      <c r="A18" s="2" t="s">
        <v>900</v>
      </c>
      <c r="B18" s="2" t="s">
        <v>1175</v>
      </c>
      <c r="C18" s="2" t="s">
        <v>1176</v>
      </c>
      <c r="D18" s="2" t="s">
        <v>105</v>
      </c>
      <c r="E18" s="2" t="s">
        <v>1168</v>
      </c>
    </row>
    <row r="19" spans="1:5">
      <c r="A19" s="2" t="s">
        <v>900</v>
      </c>
      <c r="B19" s="2" t="s">
        <v>1177</v>
      </c>
      <c r="C19" s="2" t="s">
        <v>1178</v>
      </c>
      <c r="D19" s="2" t="s">
        <v>105</v>
      </c>
      <c r="E19" s="2" t="s">
        <v>1168</v>
      </c>
    </row>
    <row r="20" spans="1:5">
      <c r="A20" s="2" t="s">
        <v>900</v>
      </c>
      <c r="B20" s="2" t="s">
        <v>1179</v>
      </c>
      <c r="C20" s="2" t="s">
        <v>1180</v>
      </c>
      <c r="D20" s="2" t="s">
        <v>105</v>
      </c>
      <c r="E20" s="2" t="s">
        <v>1168</v>
      </c>
    </row>
    <row r="21" spans="1:5">
      <c r="A21" s="2" t="s">
        <v>900</v>
      </c>
      <c r="B21" s="2" t="s">
        <v>1181</v>
      </c>
      <c r="C21" s="2" t="s">
        <v>1182</v>
      </c>
      <c r="D21" s="2" t="s">
        <v>105</v>
      </c>
      <c r="E21" s="2" t="s">
        <v>1168</v>
      </c>
    </row>
    <row r="22" spans="1:5">
      <c r="A22" s="2" t="s">
        <v>900</v>
      </c>
      <c r="B22" s="2" t="s">
        <v>932</v>
      </c>
      <c r="C22" s="2" t="s">
        <v>1183</v>
      </c>
      <c r="D22" s="2" t="s">
        <v>105</v>
      </c>
      <c r="E22" s="2" t="s">
        <v>1168</v>
      </c>
    </row>
    <row r="23" spans="1:5">
      <c r="A23" s="2" t="s">
        <v>900</v>
      </c>
      <c r="B23" s="2" t="s">
        <v>990</v>
      </c>
      <c r="C23" s="2" t="s">
        <v>1184</v>
      </c>
      <c r="D23" s="2" t="s">
        <v>105</v>
      </c>
      <c r="E23" s="2" t="s">
        <v>1168</v>
      </c>
    </row>
    <row r="24" spans="1:5">
      <c r="A24" s="2" t="s">
        <v>900</v>
      </c>
      <c r="B24" s="2" t="s">
        <v>945</v>
      </c>
      <c r="C24" s="2" t="s">
        <v>1185</v>
      </c>
      <c r="D24" s="2" t="s">
        <v>105</v>
      </c>
      <c r="E24" s="2" t="s">
        <v>1168</v>
      </c>
    </row>
    <row r="25" spans="1:5">
      <c r="A25" s="2" t="s">
        <v>900</v>
      </c>
      <c r="B25" s="2" t="s">
        <v>1186</v>
      </c>
      <c r="C25" s="2" t="s">
        <v>1187</v>
      </c>
      <c r="D25" s="2" t="s">
        <v>105</v>
      </c>
      <c r="E25" s="2" t="s">
        <v>1168</v>
      </c>
    </row>
    <row r="26" spans="1:5">
      <c r="A26" s="2" t="s">
        <v>900</v>
      </c>
      <c r="B26" s="2" t="s">
        <v>1188</v>
      </c>
      <c r="C26" s="2" t="s">
        <v>1189</v>
      </c>
      <c r="D26" s="2" t="s">
        <v>105</v>
      </c>
      <c r="E26" s="2" t="s">
        <v>1168</v>
      </c>
    </row>
    <row r="27" spans="1:5">
      <c r="A27" s="2" t="s">
        <v>900</v>
      </c>
      <c r="B27" s="2" t="s">
        <v>1190</v>
      </c>
      <c r="C27" s="2" t="s">
        <v>1191</v>
      </c>
      <c r="D27" s="2" t="s">
        <v>105</v>
      </c>
      <c r="E27" s="2" t="s">
        <v>1168</v>
      </c>
    </row>
    <row r="28" spans="1:5">
      <c r="A28" s="2" t="s">
        <v>900</v>
      </c>
      <c r="B28" s="2" t="s">
        <v>923</v>
      </c>
      <c r="C28" s="2" t="s">
        <v>1192</v>
      </c>
      <c r="D28" s="2" t="s">
        <v>105</v>
      </c>
      <c r="E28" s="2" t="s">
        <v>1168</v>
      </c>
    </row>
    <row r="29" spans="1:5">
      <c r="A29" s="2" t="s">
        <v>900</v>
      </c>
      <c r="B29" s="2" t="s">
        <v>1193</v>
      </c>
      <c r="C29" s="2" t="s">
        <v>1194</v>
      </c>
      <c r="D29" s="2" t="s">
        <v>105</v>
      </c>
      <c r="E29" s="2" t="s">
        <v>1168</v>
      </c>
    </row>
    <row r="30" spans="1:5">
      <c r="A30" s="2" t="s">
        <v>900</v>
      </c>
      <c r="B30" s="2" t="s">
        <v>1195</v>
      </c>
      <c r="C30" s="2" t="s">
        <v>1196</v>
      </c>
      <c r="D30" s="2" t="s">
        <v>105</v>
      </c>
      <c r="E30" s="2" t="s">
        <v>1168</v>
      </c>
    </row>
    <row r="31" spans="1:5">
      <c r="A31" s="2" t="s">
        <v>900</v>
      </c>
      <c r="B31" s="2" t="s">
        <v>1197</v>
      </c>
      <c r="C31" s="2" t="s">
        <v>1198</v>
      </c>
      <c r="D31" s="2" t="s">
        <v>105</v>
      </c>
      <c r="E31" s="2" t="s">
        <v>1168</v>
      </c>
    </row>
    <row r="32" spans="1:5">
      <c r="A32" s="2" t="s">
        <v>1199</v>
      </c>
      <c r="B32" s="2" t="s">
        <v>249</v>
      </c>
      <c r="C32" s="2" t="s">
        <v>249</v>
      </c>
      <c r="D32" s="2" t="s">
        <v>1200</v>
      </c>
      <c r="E32" s="2" t="s">
        <v>1201</v>
      </c>
    </row>
    <row r="33" spans="1:5">
      <c r="A33" s="2" t="s">
        <v>1199</v>
      </c>
      <c r="B33" s="2" t="s">
        <v>1202</v>
      </c>
      <c r="C33" s="2" t="s">
        <v>1202</v>
      </c>
      <c r="D33" s="2" t="s">
        <v>1200</v>
      </c>
      <c r="E33" s="2" t="s">
        <v>1201</v>
      </c>
    </row>
    <row r="34" spans="1:5">
      <c r="A34" s="2" t="s">
        <v>1199</v>
      </c>
      <c r="B34" s="2" t="s">
        <v>1203</v>
      </c>
      <c r="C34" s="2" t="s">
        <v>1203</v>
      </c>
      <c r="D34" s="2" t="s">
        <v>1200</v>
      </c>
      <c r="E34" s="2" t="s">
        <v>1201</v>
      </c>
    </row>
    <row r="35" spans="1:5">
      <c r="A35" s="2" t="s">
        <v>1199</v>
      </c>
      <c r="B35" s="2" t="s">
        <v>201</v>
      </c>
      <c r="C35" s="2" t="s">
        <v>201</v>
      </c>
      <c r="D35" s="2" t="s">
        <v>1200</v>
      </c>
      <c r="E35" s="2" t="s">
        <v>1201</v>
      </c>
    </row>
    <row r="36" spans="1:5">
      <c r="A36" s="2" t="s">
        <v>1199</v>
      </c>
      <c r="B36" s="2" t="s">
        <v>1204</v>
      </c>
      <c r="C36" s="2" t="s">
        <v>1204</v>
      </c>
      <c r="D36" s="2" t="s">
        <v>1200</v>
      </c>
      <c r="E36" s="2" t="s">
        <v>1201</v>
      </c>
    </row>
    <row r="37" spans="1:5">
      <c r="A37" s="2" t="s">
        <v>1199</v>
      </c>
      <c r="B37" s="2" t="s">
        <v>1205</v>
      </c>
      <c r="C37" s="2" t="s">
        <v>1205</v>
      </c>
      <c r="D37" s="2" t="s">
        <v>1200</v>
      </c>
      <c r="E37" s="2" t="s">
        <v>1201</v>
      </c>
    </row>
    <row r="38" spans="1:5">
      <c r="A38" s="2" t="s">
        <v>1206</v>
      </c>
      <c r="B38" s="2" t="s">
        <v>1207</v>
      </c>
      <c r="C38" s="2" t="s">
        <v>1207</v>
      </c>
      <c r="D38" s="2" t="s">
        <v>1200</v>
      </c>
      <c r="E38" s="2" t="s">
        <v>1208</v>
      </c>
    </row>
    <row r="39" spans="1:5">
      <c r="A39" s="2" t="s">
        <v>1206</v>
      </c>
      <c r="B39" s="2" t="s">
        <v>142</v>
      </c>
      <c r="C39" s="2" t="s">
        <v>142</v>
      </c>
      <c r="D39" s="2" t="s">
        <v>1200</v>
      </c>
      <c r="E39" s="2" t="s">
        <v>1208</v>
      </c>
    </row>
    <row r="40" spans="1:5">
      <c r="A40" s="2" t="s">
        <v>1206</v>
      </c>
      <c r="B40" s="2" t="s">
        <v>1209</v>
      </c>
      <c r="C40" s="2" t="s">
        <v>1209</v>
      </c>
      <c r="D40" s="2" t="s">
        <v>1200</v>
      </c>
      <c r="E40" s="2" t="s">
        <v>1208</v>
      </c>
    </row>
    <row r="41" spans="1:5">
      <c r="A41" s="2" t="s">
        <v>1206</v>
      </c>
      <c r="B41" s="2" t="s">
        <v>1210</v>
      </c>
      <c r="C41" s="2" t="s">
        <v>1210</v>
      </c>
      <c r="D41" s="2" t="s">
        <v>1200</v>
      </c>
      <c r="E41" s="2" t="s">
        <v>1208</v>
      </c>
    </row>
    <row r="42" spans="1:5">
      <c r="A42" s="2" t="s">
        <v>1206</v>
      </c>
      <c r="B42" s="2" t="s">
        <v>235</v>
      </c>
      <c r="C42" s="2" t="s">
        <v>235</v>
      </c>
      <c r="D42" s="2" t="s">
        <v>1200</v>
      </c>
      <c r="E42" s="2" t="s">
        <v>1208</v>
      </c>
    </row>
    <row r="43" spans="1:5">
      <c r="A43" s="2" t="s">
        <v>1211</v>
      </c>
      <c r="B43" s="2" t="s">
        <v>1212</v>
      </c>
      <c r="C43" s="2" t="s">
        <v>1151</v>
      </c>
      <c r="D43" s="2" t="s">
        <v>1213</v>
      </c>
      <c r="E43" s="2" t="s">
        <v>1214</v>
      </c>
    </row>
    <row r="44" spans="1:5">
      <c r="A44" s="2" t="s">
        <v>1211</v>
      </c>
      <c r="B44" s="2" t="s">
        <v>1215</v>
      </c>
      <c r="C44" s="2" t="s">
        <v>1155</v>
      </c>
      <c r="D44" s="2" t="s">
        <v>1216</v>
      </c>
      <c r="E44" s="2" t="s">
        <v>1214</v>
      </c>
    </row>
    <row r="45" spans="1:5">
      <c r="A45" s="2" t="s">
        <v>1211</v>
      </c>
      <c r="B45" s="2" t="s">
        <v>1217</v>
      </c>
      <c r="C45" s="2" t="s">
        <v>1156</v>
      </c>
      <c r="D45" s="2" t="s">
        <v>1218</v>
      </c>
      <c r="E45" s="2" t="s">
        <v>1214</v>
      </c>
    </row>
    <row r="46" spans="1:5">
      <c r="A46" s="2" t="s">
        <v>1211</v>
      </c>
      <c r="B46" s="2" t="s">
        <v>1219</v>
      </c>
      <c r="C46" s="2" t="s">
        <v>1157</v>
      </c>
      <c r="D46" s="2" t="s">
        <v>1220</v>
      </c>
      <c r="E46" s="2" t="s">
        <v>1214</v>
      </c>
    </row>
    <row r="47" spans="1:5">
      <c r="A47" s="2" t="s">
        <v>1211</v>
      </c>
      <c r="B47" s="2" t="s">
        <v>1221</v>
      </c>
      <c r="C47" s="2" t="s">
        <v>1222</v>
      </c>
      <c r="D47" s="2" t="s">
        <v>83</v>
      </c>
      <c r="E47" s="2" t="s">
        <v>1214</v>
      </c>
    </row>
    <row r="48" spans="1:5">
      <c r="A48" s="2" t="s">
        <v>1211</v>
      </c>
      <c r="B48" s="2" t="s">
        <v>1223</v>
      </c>
      <c r="C48" s="2" t="s">
        <v>1224</v>
      </c>
      <c r="D48" s="2" t="s">
        <v>86</v>
      </c>
      <c r="E48" s="2" t="s">
        <v>1214</v>
      </c>
    </row>
    <row r="49" spans="1:5">
      <c r="A49" s="2" t="s">
        <v>1211</v>
      </c>
      <c r="B49" s="2" t="s">
        <v>1225</v>
      </c>
      <c r="C49" s="2" t="s">
        <v>1226</v>
      </c>
      <c r="D49" s="2" t="s">
        <v>43</v>
      </c>
      <c r="E49" s="2" t="s">
        <v>1214</v>
      </c>
    </row>
    <row r="50" spans="1:5">
      <c r="A50" s="2" t="s">
        <v>1211</v>
      </c>
      <c r="B50" s="2" t="s">
        <v>1227</v>
      </c>
      <c r="C50" s="2" t="s">
        <v>47</v>
      </c>
      <c r="D50" s="2" t="s">
        <v>47</v>
      </c>
      <c r="E50" s="2" t="s">
        <v>1214</v>
      </c>
    </row>
    <row r="51" spans="1:5">
      <c r="A51" s="2" t="s">
        <v>1211</v>
      </c>
      <c r="B51" s="2" t="s">
        <v>1228</v>
      </c>
      <c r="C51" s="2" t="s">
        <v>921</v>
      </c>
      <c r="D51" s="2" t="s">
        <v>105</v>
      </c>
      <c r="E51" s="2" t="s">
        <v>1214</v>
      </c>
    </row>
    <row r="52" spans="1:5" ht="15">
      <c r="A52" s="37" t="s">
        <v>899</v>
      </c>
      <c r="B52" s="38" t="s">
        <v>922</v>
      </c>
      <c r="C52" s="38" t="s">
        <v>1229</v>
      </c>
      <c r="D52" s="38" t="s">
        <v>101</v>
      </c>
      <c r="E52" s="39" t="s">
        <v>1230</v>
      </c>
    </row>
    <row r="53" spans="1:5" ht="15">
      <c r="A53" s="40" t="s">
        <v>899</v>
      </c>
      <c r="B53" s="41" t="s">
        <v>960</v>
      </c>
      <c r="C53" s="41" t="s">
        <v>1231</v>
      </c>
      <c r="D53" s="41" t="s">
        <v>101</v>
      </c>
      <c r="E53" s="42" t="s">
        <v>1232</v>
      </c>
    </row>
    <row r="54" spans="1:5" ht="15">
      <c r="A54" s="40" t="s">
        <v>899</v>
      </c>
      <c r="B54" s="41" t="s">
        <v>85</v>
      </c>
      <c r="C54" s="41" t="s">
        <v>1233</v>
      </c>
      <c r="D54" s="41" t="s">
        <v>101</v>
      </c>
      <c r="E54" s="42" t="s">
        <v>1234</v>
      </c>
    </row>
    <row r="55" spans="1:5" ht="15">
      <c r="A55" s="40" t="s">
        <v>899</v>
      </c>
      <c r="B55" s="41" t="s">
        <v>88</v>
      </c>
      <c r="C55" s="41" t="s">
        <v>86</v>
      </c>
      <c r="D55" s="41" t="s">
        <v>101</v>
      </c>
      <c r="E55" s="42" t="s">
        <v>1235</v>
      </c>
    </row>
    <row r="56" spans="1:5" ht="15">
      <c r="A56" s="40" t="s">
        <v>900</v>
      </c>
      <c r="B56" s="41" t="s">
        <v>949</v>
      </c>
      <c r="C56" s="41" t="s">
        <v>1236</v>
      </c>
      <c r="D56" s="41" t="s">
        <v>105</v>
      </c>
      <c r="E56" s="42" t="s">
        <v>1237</v>
      </c>
    </row>
    <row r="57" spans="1:5" ht="15">
      <c r="A57" s="40" t="s">
        <v>900</v>
      </c>
      <c r="B57" s="41" t="s">
        <v>961</v>
      </c>
      <c r="C57" s="41" t="s">
        <v>1238</v>
      </c>
      <c r="D57" s="41" t="s">
        <v>105</v>
      </c>
      <c r="E57" s="42" t="s">
        <v>963</v>
      </c>
    </row>
    <row r="58" spans="1:5" ht="15">
      <c r="A58" s="40" t="s">
        <v>900</v>
      </c>
      <c r="B58" s="41" t="s">
        <v>969</v>
      </c>
      <c r="C58" s="41" t="s">
        <v>1239</v>
      </c>
      <c r="D58" s="41" t="s">
        <v>105</v>
      </c>
      <c r="E58" s="42" t="s">
        <v>1240</v>
      </c>
    </row>
    <row r="59" spans="1:5" ht="15">
      <c r="A59" s="40" t="s">
        <v>900</v>
      </c>
      <c r="B59" s="41" t="s">
        <v>965</v>
      </c>
      <c r="C59" s="41" t="s">
        <v>1241</v>
      </c>
      <c r="D59" s="41" t="s">
        <v>105</v>
      </c>
      <c r="E59" s="42" t="s">
        <v>1242</v>
      </c>
    </row>
    <row r="60" spans="1:5" ht="15">
      <c r="A60" s="40" t="s">
        <v>900</v>
      </c>
      <c r="B60" s="41" t="s">
        <v>972</v>
      </c>
      <c r="C60" s="41" t="s">
        <v>1243</v>
      </c>
      <c r="D60" s="41" t="s">
        <v>105</v>
      </c>
      <c r="E60" s="42" t="s">
        <v>1244</v>
      </c>
    </row>
    <row r="61" spans="1:5" ht="15">
      <c r="A61" s="40" t="s">
        <v>900</v>
      </c>
      <c r="B61" s="41" t="s">
        <v>984</v>
      </c>
      <c r="C61" s="41" t="s">
        <v>1245</v>
      </c>
      <c r="D61" s="41" t="s">
        <v>105</v>
      </c>
      <c r="E61" s="42" t="s">
        <v>1246</v>
      </c>
    </row>
    <row r="62" spans="1:5" ht="15">
      <c r="A62" s="40" t="s">
        <v>900</v>
      </c>
      <c r="B62" s="41" t="s">
        <v>1002</v>
      </c>
      <c r="C62" s="41" t="s">
        <v>1247</v>
      </c>
      <c r="D62" s="41" t="s">
        <v>105</v>
      </c>
      <c r="E62" s="42" t="s">
        <v>1248</v>
      </c>
    </row>
    <row r="63" spans="1:5" ht="15">
      <c r="A63" s="40" t="s">
        <v>900</v>
      </c>
      <c r="B63" s="41" t="s">
        <v>1009</v>
      </c>
      <c r="C63" s="41" t="s">
        <v>1249</v>
      </c>
      <c r="D63" s="41" t="s">
        <v>105</v>
      </c>
      <c r="E63" s="42" t="s">
        <v>1250</v>
      </c>
    </row>
    <row r="64" spans="1:5" ht="15">
      <c r="A64" s="40" t="s">
        <v>900</v>
      </c>
      <c r="B64" s="41" t="s">
        <v>1020</v>
      </c>
      <c r="C64" s="41" t="s">
        <v>1251</v>
      </c>
      <c r="D64" s="41" t="s">
        <v>105</v>
      </c>
      <c r="E64" s="42" t="s">
        <v>1252</v>
      </c>
    </row>
    <row r="65" spans="1:5" ht="15">
      <c r="A65" s="40" t="s">
        <v>900</v>
      </c>
      <c r="B65" s="41" t="s">
        <v>1026</v>
      </c>
      <c r="C65" s="41" t="s">
        <v>1196</v>
      </c>
      <c r="D65" s="41" t="s">
        <v>105</v>
      </c>
      <c r="E65" s="42" t="s">
        <v>1253</v>
      </c>
    </row>
    <row r="66" spans="1:5" ht="15">
      <c r="A66" s="40" t="s">
        <v>900</v>
      </c>
      <c r="B66" s="41" t="s">
        <v>1034</v>
      </c>
      <c r="C66" s="41" t="s">
        <v>1254</v>
      </c>
      <c r="D66" s="41" t="s">
        <v>105</v>
      </c>
      <c r="E66" s="42" t="s">
        <v>1255</v>
      </c>
    </row>
    <row r="67" spans="1:5" ht="15">
      <c r="A67" s="40" t="s">
        <v>900</v>
      </c>
      <c r="B67" s="41" t="s">
        <v>1256</v>
      </c>
      <c r="C67" s="41" t="s">
        <v>1257</v>
      </c>
      <c r="D67" s="41" t="s">
        <v>105</v>
      </c>
      <c r="E67" s="42" t="s">
        <v>1258</v>
      </c>
    </row>
    <row r="68" spans="1:5" ht="15">
      <c r="A68" s="40" t="s">
        <v>900</v>
      </c>
      <c r="B68" s="41" t="s">
        <v>1259</v>
      </c>
      <c r="C68" s="41" t="s">
        <v>1260</v>
      </c>
      <c r="D68" s="41" t="s">
        <v>105</v>
      </c>
      <c r="E68" s="42" t="s">
        <v>1261</v>
      </c>
    </row>
    <row r="69" spans="1:5" ht="15">
      <c r="A69" s="40" t="s">
        <v>900</v>
      </c>
      <c r="B69" s="41" t="s">
        <v>1262</v>
      </c>
      <c r="C69" s="41" t="s">
        <v>1263</v>
      </c>
      <c r="D69" s="41" t="s">
        <v>105</v>
      </c>
      <c r="E69" s="42" t="s">
        <v>1264</v>
      </c>
    </row>
    <row r="70" spans="1:5" ht="15">
      <c r="A70" s="40" t="s">
        <v>900</v>
      </c>
      <c r="B70" s="41" t="s">
        <v>1265</v>
      </c>
      <c r="C70" s="41" t="s">
        <v>1266</v>
      </c>
      <c r="D70" s="41" t="s">
        <v>105</v>
      </c>
      <c r="E70" s="42" t="s">
        <v>1267</v>
      </c>
    </row>
    <row r="71" spans="1:5" ht="15">
      <c r="A71" s="40" t="s">
        <v>900</v>
      </c>
      <c r="B71" s="41" t="s">
        <v>1268</v>
      </c>
      <c r="C71" s="41" t="s">
        <v>1269</v>
      </c>
      <c r="D71" s="41" t="s">
        <v>105</v>
      </c>
      <c r="E71" s="42" t="s">
        <v>1270</v>
      </c>
    </row>
    <row r="72" spans="1:5" ht="15">
      <c r="A72" s="40" t="s">
        <v>1211</v>
      </c>
      <c r="B72" s="41" t="s">
        <v>1271</v>
      </c>
      <c r="C72" s="41" t="s">
        <v>68</v>
      </c>
      <c r="D72" s="41" t="s">
        <v>1272</v>
      </c>
      <c r="E72" s="42" t="s">
        <v>1214</v>
      </c>
    </row>
    <row r="73" spans="1:5" ht="15">
      <c r="A73" s="43" t="s">
        <v>1211</v>
      </c>
      <c r="B73" s="44" t="s">
        <v>1273</v>
      </c>
      <c r="C73" s="44" t="s">
        <v>39</v>
      </c>
      <c r="D73" s="44" t="s">
        <v>39</v>
      </c>
      <c r="E73" s="45" t="s">
        <v>1274</v>
      </c>
    </row>
    <row r="74" spans="1:5">
      <c r="A74" t="s">
        <v>1211</v>
      </c>
      <c r="B74" t="s">
        <v>1271</v>
      </c>
      <c r="C74" t="s">
        <v>68</v>
      </c>
      <c r="D74" t="s">
        <v>1272</v>
      </c>
      <c r="E74" t="s">
        <v>1214</v>
      </c>
    </row>
    <row r="75" spans="1:5">
      <c r="A75" t="s">
        <v>1211</v>
      </c>
      <c r="B75" t="s">
        <v>1273</v>
      </c>
      <c r="C75" t="s">
        <v>39</v>
      </c>
      <c r="D75" t="s">
        <v>39</v>
      </c>
      <c r="E75" t="s">
        <v>1274</v>
      </c>
    </row>
    <row r="76" spans="1:5" ht="15">
      <c r="A76" s="46" t="s">
        <v>599</v>
      </c>
      <c r="B76" s="46" t="s">
        <v>600</v>
      </c>
      <c r="C76" s="46" t="s">
        <v>1275</v>
      </c>
      <c r="D76" s="46" t="s">
        <v>1276</v>
      </c>
      <c r="E76" s="46" t="s">
        <v>1277</v>
      </c>
    </row>
    <row r="77" spans="1:5" ht="15">
      <c r="A77" s="46" t="s">
        <v>1278</v>
      </c>
      <c r="B77" s="46" t="s">
        <v>614</v>
      </c>
      <c r="C77" s="46" t="s">
        <v>1279</v>
      </c>
      <c r="D77" s="46" t="s">
        <v>65</v>
      </c>
      <c r="E77" s="46" t="s">
        <v>1280</v>
      </c>
    </row>
    <row r="78" spans="1:5" ht="15">
      <c r="A78" s="46" t="s">
        <v>1278</v>
      </c>
      <c r="B78" s="46" t="s">
        <v>618</v>
      </c>
      <c r="C78" s="46" t="s">
        <v>1281</v>
      </c>
      <c r="D78" s="46" t="s">
        <v>65</v>
      </c>
      <c r="E78" s="46" t="s">
        <v>1282</v>
      </c>
    </row>
    <row r="79" spans="1:5" ht="15">
      <c r="A79" s="46" t="s">
        <v>1283</v>
      </c>
      <c r="B79" s="46" t="s">
        <v>1284</v>
      </c>
      <c r="C79" s="46" t="s">
        <v>1285</v>
      </c>
      <c r="D79" s="46" t="s">
        <v>1286</v>
      </c>
      <c r="E79" s="46" t="s">
        <v>1287</v>
      </c>
    </row>
    <row r="80" spans="1:5" ht="30">
      <c r="A80" s="46" t="s">
        <v>1283</v>
      </c>
      <c r="B80" s="46" t="s">
        <v>1288</v>
      </c>
      <c r="C80" s="46" t="s">
        <v>1289</v>
      </c>
      <c r="D80" s="46" t="s">
        <v>1286</v>
      </c>
      <c r="E80" s="46" t="s">
        <v>1290</v>
      </c>
    </row>
    <row r="81" spans="1:5" ht="15">
      <c r="A81" s="46" t="s">
        <v>1283</v>
      </c>
      <c r="B81" s="46" t="s">
        <v>1291</v>
      </c>
      <c r="C81" s="46" t="s">
        <v>1292</v>
      </c>
      <c r="D81" s="46" t="s">
        <v>1286</v>
      </c>
      <c r="E81" s="46" t="s">
        <v>1293</v>
      </c>
    </row>
    <row r="82" spans="1:5">
      <c r="A82" s="49" t="s">
        <v>899</v>
      </c>
      <c r="B82" s="49" t="s">
        <v>1054</v>
      </c>
      <c r="C82" s="49" t="s">
        <v>71</v>
      </c>
      <c r="D82" s="49" t="s">
        <v>1294</v>
      </c>
      <c r="E82" s="49" t="s">
        <v>1295</v>
      </c>
    </row>
    <row r="83" spans="1:5">
      <c r="A83" s="49" t="s">
        <v>899</v>
      </c>
      <c r="B83" s="49" t="s">
        <v>92</v>
      </c>
      <c r="C83" s="49" t="s">
        <v>1296</v>
      </c>
      <c r="D83" s="49" t="s">
        <v>1297</v>
      </c>
      <c r="E83" s="49" t="s">
        <v>1298</v>
      </c>
    </row>
    <row r="84" spans="1:5">
      <c r="A84" s="49" t="s">
        <v>900</v>
      </c>
      <c r="B84" s="49" t="s">
        <v>1299</v>
      </c>
      <c r="C84" s="49" t="s">
        <v>1300</v>
      </c>
      <c r="D84" s="49" t="s">
        <v>105</v>
      </c>
      <c r="E84" s="49" t="s">
        <v>1301</v>
      </c>
    </row>
    <row r="85" spans="1:5">
      <c r="A85" s="49" t="s">
        <v>900</v>
      </c>
      <c r="B85" s="49" t="s">
        <v>1302</v>
      </c>
      <c r="C85" s="49" t="s">
        <v>1303</v>
      </c>
      <c r="D85" s="49" t="s">
        <v>105</v>
      </c>
      <c r="E85" s="49" t="s">
        <v>1304</v>
      </c>
    </row>
    <row r="86" spans="1:5">
      <c r="A86" s="49" t="s">
        <v>900</v>
      </c>
      <c r="B86" s="49" t="s">
        <v>1305</v>
      </c>
      <c r="C86" s="49" t="s">
        <v>1306</v>
      </c>
      <c r="D86" s="49" t="s">
        <v>105</v>
      </c>
      <c r="E86" s="49" t="s">
        <v>1307</v>
      </c>
    </row>
    <row r="87" spans="1:5">
      <c r="A87" s="49" t="s">
        <v>900</v>
      </c>
      <c r="B87" s="49" t="s">
        <v>1308</v>
      </c>
      <c r="C87" s="49" t="s">
        <v>1309</v>
      </c>
      <c r="D87" s="49" t="s">
        <v>105</v>
      </c>
      <c r="E87" s="49" t="s">
        <v>1310</v>
      </c>
    </row>
    <row r="88" spans="1:5">
      <c r="A88" s="49" t="s">
        <v>900</v>
      </c>
      <c r="B88" s="49" t="s">
        <v>1311</v>
      </c>
      <c r="C88" s="49" t="s">
        <v>1312</v>
      </c>
      <c r="D88" s="49" t="s">
        <v>105</v>
      </c>
      <c r="E88" s="49" t="s">
        <v>1313</v>
      </c>
    </row>
    <row r="89" spans="1:5">
      <c r="A89" s="49" t="s">
        <v>900</v>
      </c>
      <c r="B89" s="49" t="s">
        <v>1314</v>
      </c>
      <c r="C89" s="49" t="s">
        <v>1315</v>
      </c>
      <c r="D89" s="49" t="s">
        <v>105</v>
      </c>
      <c r="E89" s="49" t="s">
        <v>1316</v>
      </c>
    </row>
    <row r="90" spans="1:5">
      <c r="A90" s="49" t="s">
        <v>900</v>
      </c>
      <c r="B90" s="49" t="s">
        <v>1317</v>
      </c>
      <c r="C90" s="49" t="s">
        <v>1318</v>
      </c>
      <c r="D90" s="49" t="s">
        <v>105</v>
      </c>
      <c r="E90" s="49" t="s">
        <v>1319</v>
      </c>
    </row>
    <row r="91" spans="1:5">
      <c r="A91" s="49" t="s">
        <v>1320</v>
      </c>
      <c r="B91" s="49" t="s">
        <v>1321</v>
      </c>
      <c r="C91" s="49" t="s">
        <v>1322</v>
      </c>
      <c r="D91" s="49" t="s">
        <v>90</v>
      </c>
      <c r="E91" s="49" t="s">
        <v>1323</v>
      </c>
    </row>
    <row r="92" spans="1:5">
      <c r="A92" s="49" t="s">
        <v>1320</v>
      </c>
      <c r="B92" s="49" t="s">
        <v>1324</v>
      </c>
      <c r="C92" s="49" t="s">
        <v>1325</v>
      </c>
      <c r="D92" s="49" t="s">
        <v>90</v>
      </c>
      <c r="E92" s="49" t="s">
        <v>1326</v>
      </c>
    </row>
    <row r="93" spans="1:5">
      <c r="A93" s="49" t="s">
        <v>1320</v>
      </c>
      <c r="B93" s="49" t="s">
        <v>1327</v>
      </c>
      <c r="C93" s="49" t="s">
        <v>1328</v>
      </c>
      <c r="D93" s="49" t="s">
        <v>90</v>
      </c>
      <c r="E93" s="49" t="s">
        <v>1329</v>
      </c>
    </row>
    <row r="94" spans="1:5">
      <c r="A94" s="49" t="s">
        <v>1320</v>
      </c>
      <c r="B94" s="49" t="s">
        <v>1330</v>
      </c>
      <c r="C94" s="49" t="s">
        <v>1331</v>
      </c>
      <c r="D94" s="49" t="s">
        <v>90</v>
      </c>
      <c r="E94" s="49" t="s">
        <v>1332</v>
      </c>
    </row>
    <row r="95" spans="1:5">
      <c r="A95" t="s">
        <v>1211</v>
      </c>
      <c r="B95" t="s">
        <v>1333</v>
      </c>
      <c r="C95" t="s">
        <v>1296</v>
      </c>
      <c r="D95" t="s">
        <v>90</v>
      </c>
      <c r="E95" t="s">
        <v>1214</v>
      </c>
    </row>
    <row r="96" spans="1:5" ht="30" customHeight="1">
      <c r="A96" s="62" t="s">
        <v>1334</v>
      </c>
      <c r="B96" s="61" t="s">
        <v>1335</v>
      </c>
      <c r="C96" s="61" t="s">
        <v>1336</v>
      </c>
      <c r="D96" s="61" t="s">
        <v>1337</v>
      </c>
      <c r="E96" s="61" t="s">
        <v>1338</v>
      </c>
    </row>
    <row r="97" spans="1:5" ht="30" customHeight="1">
      <c r="A97" s="62" t="s">
        <v>1339</v>
      </c>
      <c r="B97" s="61" t="s">
        <v>1340</v>
      </c>
      <c r="C97" s="61" t="s">
        <v>1341</v>
      </c>
      <c r="D97" s="61" t="s">
        <v>1342</v>
      </c>
      <c r="E97" s="61" t="s">
        <v>1343</v>
      </c>
    </row>
    <row r="98" spans="1:5" ht="30" customHeight="1">
      <c r="A98" s="62" t="s">
        <v>1339</v>
      </c>
      <c r="B98" s="61" t="s">
        <v>1344</v>
      </c>
      <c r="C98" s="61" t="s">
        <v>1345</v>
      </c>
      <c r="D98" s="61" t="s">
        <v>1346</v>
      </c>
      <c r="E98" s="61" t="s">
        <v>1347</v>
      </c>
    </row>
    <row r="99" spans="1:5" ht="30" customHeight="1">
      <c r="A99" s="62" t="s">
        <v>1339</v>
      </c>
      <c r="B99" s="61" t="s">
        <v>1348</v>
      </c>
      <c r="C99" s="61" t="s">
        <v>1349</v>
      </c>
      <c r="D99" s="61" t="s">
        <v>1350</v>
      </c>
      <c r="E99" s="61" t="s">
        <v>1351</v>
      </c>
    </row>
    <row r="100" spans="1:5" ht="30" customHeight="1">
      <c r="A100" s="62" t="s">
        <v>1339</v>
      </c>
      <c r="B100" s="61" t="s">
        <v>1352</v>
      </c>
      <c r="C100" s="61" t="s">
        <v>1353</v>
      </c>
      <c r="D100" s="61" t="s">
        <v>1354</v>
      </c>
      <c r="E100" s="61" t="s">
        <v>1355</v>
      </c>
    </row>
    <row r="101" spans="1:5" ht="30" customHeight="1">
      <c r="A101" s="62" t="s">
        <v>1339</v>
      </c>
      <c r="B101" s="61" t="s">
        <v>1356</v>
      </c>
      <c r="C101" s="61" t="s">
        <v>1357</v>
      </c>
      <c r="D101" s="61" t="s">
        <v>1358</v>
      </c>
      <c r="E101" s="61" t="s">
        <v>1359</v>
      </c>
    </row>
    <row r="102" spans="1:5" ht="15">
      <c r="A102" s="70" t="s">
        <v>899</v>
      </c>
      <c r="B102" s="68" t="s">
        <v>53</v>
      </c>
      <c r="C102" s="68" t="s">
        <v>1360</v>
      </c>
      <c r="D102" s="68" t="s">
        <v>1361</v>
      </c>
      <c r="E102" s="68" t="s">
        <v>1362</v>
      </c>
    </row>
    <row r="103" spans="1:5" ht="15">
      <c r="A103" s="70" t="s">
        <v>899</v>
      </c>
      <c r="B103" s="68" t="s">
        <v>96</v>
      </c>
      <c r="C103" s="68" t="s">
        <v>1363</v>
      </c>
      <c r="D103" s="68" t="s">
        <v>1364</v>
      </c>
      <c r="E103" s="68" t="s">
        <v>1365</v>
      </c>
    </row>
    <row r="104" spans="1:5" ht="15">
      <c r="A104" s="70" t="s">
        <v>900</v>
      </c>
      <c r="B104" s="68" t="s">
        <v>1085</v>
      </c>
      <c r="C104" s="68" t="s">
        <v>1366</v>
      </c>
      <c r="D104" s="68" t="s">
        <v>1367</v>
      </c>
      <c r="E104" s="68" t="s">
        <v>1368</v>
      </c>
    </row>
    <row r="105" spans="1:5" ht="15">
      <c r="A105" s="70" t="s">
        <v>1211</v>
      </c>
      <c r="B105" s="68" t="s">
        <v>1369</v>
      </c>
      <c r="C105" s="68" t="s">
        <v>1370</v>
      </c>
      <c r="D105" s="68" t="s">
        <v>1371</v>
      </c>
      <c r="E105" s="68" t="s">
        <v>1214</v>
      </c>
    </row>
    <row r="106" spans="1:5" ht="15">
      <c r="A106" s="70" t="s">
        <v>1211</v>
      </c>
      <c r="B106" s="68" t="s">
        <v>1372</v>
      </c>
      <c r="C106" s="68" t="s">
        <v>1373</v>
      </c>
      <c r="D106" s="68" t="s">
        <v>1374</v>
      </c>
      <c r="E106" s="68" t="s">
        <v>1214</v>
      </c>
    </row>
    <row r="107" spans="1:5" ht="15">
      <c r="A107" s="70" t="s">
        <v>1211</v>
      </c>
      <c r="B107" s="68" t="s">
        <v>1375</v>
      </c>
      <c r="C107" s="68" t="s">
        <v>1363</v>
      </c>
      <c r="D107" s="68" t="s">
        <v>1376</v>
      </c>
      <c r="E107" s="68" t="s">
        <v>1214</v>
      </c>
    </row>
    <row r="108" spans="1:5" ht="15">
      <c r="A108" s="70" t="s">
        <v>1211</v>
      </c>
      <c r="B108" s="68" t="s">
        <v>1377</v>
      </c>
      <c r="C108" s="68" t="s">
        <v>97</v>
      </c>
      <c r="D108" s="68" t="s">
        <v>1378</v>
      </c>
      <c r="E108" s="68" t="s">
        <v>1214</v>
      </c>
    </row>
    <row r="109" spans="1:5" ht="15">
      <c r="A109" s="70" t="s">
        <v>1379</v>
      </c>
      <c r="B109" s="68" t="s">
        <v>1380</v>
      </c>
      <c r="C109" s="68" t="s">
        <v>1381</v>
      </c>
      <c r="D109" s="68" t="s">
        <v>94</v>
      </c>
      <c r="E109" s="68" t="s">
        <v>1382</v>
      </c>
    </row>
    <row r="110" spans="1:5" ht="15">
      <c r="A110" s="70" t="s">
        <v>1379</v>
      </c>
      <c r="B110" s="68" t="s">
        <v>1383</v>
      </c>
      <c r="C110" s="68" t="s">
        <v>1384</v>
      </c>
      <c r="D110" s="68" t="s">
        <v>94</v>
      </c>
      <c r="E110" s="68" t="s">
        <v>1385</v>
      </c>
    </row>
    <row r="111" spans="1:5" ht="15">
      <c r="A111" s="70" t="s">
        <v>1379</v>
      </c>
      <c r="B111" s="68" t="s">
        <v>1386</v>
      </c>
      <c r="C111" s="68" t="s">
        <v>1387</v>
      </c>
      <c r="D111" s="68" t="s">
        <v>94</v>
      </c>
      <c r="E111" s="68" t="s">
        <v>1388</v>
      </c>
    </row>
    <row r="112" spans="1:5" ht="15">
      <c r="A112" s="70" t="s">
        <v>1379</v>
      </c>
      <c r="B112" s="68" t="s">
        <v>1389</v>
      </c>
      <c r="C112" s="68" t="s">
        <v>1390</v>
      </c>
      <c r="D112" s="68" t="s">
        <v>94</v>
      </c>
      <c r="E112" s="68" t="s">
        <v>1391</v>
      </c>
    </row>
    <row r="113" spans="1:5" ht="15">
      <c r="A113" s="70" t="s">
        <v>1379</v>
      </c>
      <c r="B113" s="68" t="s">
        <v>1392</v>
      </c>
      <c r="C113" s="68" t="s">
        <v>1393</v>
      </c>
      <c r="D113" s="68" t="s">
        <v>94</v>
      </c>
      <c r="E113" s="68" t="s">
        <v>1394</v>
      </c>
    </row>
    <row r="114" spans="1:5" ht="15">
      <c r="A114" s="70" t="s">
        <v>1379</v>
      </c>
      <c r="B114" s="68" t="s">
        <v>1395</v>
      </c>
      <c r="C114" s="68" t="s">
        <v>1396</v>
      </c>
      <c r="D114" s="68" t="s">
        <v>94</v>
      </c>
      <c r="E114" s="68" t="s">
        <v>1397</v>
      </c>
    </row>
    <row r="115" spans="1:5" ht="15">
      <c r="A115" s="70" t="s">
        <v>1398</v>
      </c>
      <c r="B115" s="68" t="s">
        <v>1399</v>
      </c>
      <c r="C115" s="68" t="s">
        <v>1400</v>
      </c>
      <c r="D115" s="68" t="s">
        <v>97</v>
      </c>
      <c r="E115" s="68" t="s">
        <v>1401</v>
      </c>
    </row>
    <row r="116" spans="1:5" ht="15">
      <c r="A116" s="70" t="s">
        <v>1398</v>
      </c>
      <c r="B116" s="68" t="s">
        <v>1402</v>
      </c>
      <c r="C116" s="68" t="s">
        <v>1403</v>
      </c>
      <c r="D116" s="68" t="s">
        <v>97</v>
      </c>
      <c r="E116" s="68" t="s">
        <v>1404</v>
      </c>
    </row>
    <row r="117" spans="1:5" ht="15">
      <c r="A117" s="70" t="s">
        <v>1398</v>
      </c>
      <c r="B117" s="68" t="s">
        <v>1405</v>
      </c>
      <c r="C117" s="68" t="s">
        <v>1406</v>
      </c>
      <c r="D117" s="68" t="s">
        <v>97</v>
      </c>
      <c r="E117" s="68" t="s">
        <v>1407</v>
      </c>
    </row>
    <row r="118" spans="1:5" ht="15">
      <c r="A118" s="70" t="s">
        <v>1398</v>
      </c>
      <c r="B118" s="68" t="s">
        <v>1408</v>
      </c>
      <c r="C118" s="68" t="s">
        <v>1409</v>
      </c>
      <c r="D118" s="68" t="s">
        <v>97</v>
      </c>
      <c r="E118" s="68" t="s">
        <v>1410</v>
      </c>
    </row>
    <row r="119" spans="1:5" ht="15">
      <c r="A119" s="70" t="s">
        <v>1398</v>
      </c>
      <c r="B119" s="68" t="s">
        <v>1411</v>
      </c>
      <c r="C119" s="68" t="s">
        <v>1328</v>
      </c>
      <c r="D119" s="68" t="s">
        <v>97</v>
      </c>
      <c r="E119" s="68" t="s">
        <v>1412</v>
      </c>
    </row>
    <row r="120" spans="1:5">
      <c r="A120" s="50" t="s">
        <v>899</v>
      </c>
      <c r="B120" s="50" t="s">
        <v>1129</v>
      </c>
      <c r="C120" s="50" t="s">
        <v>1413</v>
      </c>
      <c r="D120" s="50" t="s">
        <v>1414</v>
      </c>
      <c r="E120" s="50" t="s">
        <v>1415</v>
      </c>
    </row>
    <row r="121" spans="1:5">
      <c r="A121" s="50" t="s">
        <v>1211</v>
      </c>
      <c r="B121" s="50" t="s">
        <v>1416</v>
      </c>
      <c r="C121" s="50" t="s">
        <v>1417</v>
      </c>
      <c r="D121" s="50" t="s">
        <v>79</v>
      </c>
      <c r="E121" s="50" t="s">
        <v>1418</v>
      </c>
    </row>
    <row r="122" spans="1:5">
      <c r="A122" s="50" t="s">
        <v>1419</v>
      </c>
      <c r="B122" s="50" t="s">
        <v>1420</v>
      </c>
      <c r="C122" s="50" t="s">
        <v>1421</v>
      </c>
      <c r="D122" s="50" t="s">
        <v>79</v>
      </c>
      <c r="E122" s="50" t="s">
        <v>1422</v>
      </c>
    </row>
    <row r="123" spans="1:5">
      <c r="A123" s="50" t="s">
        <v>1419</v>
      </c>
      <c r="B123" s="50" t="s">
        <v>1423</v>
      </c>
      <c r="C123" s="50" t="s">
        <v>1424</v>
      </c>
      <c r="D123" s="50" t="s">
        <v>79</v>
      </c>
      <c r="E123" s="50" t="s">
        <v>1425</v>
      </c>
    </row>
    <row r="124" spans="1:5">
      <c r="A124" s="50" t="s">
        <v>1419</v>
      </c>
      <c r="B124" s="50" t="s">
        <v>1426</v>
      </c>
      <c r="C124" s="50" t="s">
        <v>1427</v>
      </c>
      <c r="D124" s="50" t="s">
        <v>79</v>
      </c>
      <c r="E124" s="50" t="s">
        <v>1428</v>
      </c>
    </row>
    <row r="125" spans="1:5">
      <c r="A125" s="50" t="s">
        <v>1419</v>
      </c>
      <c r="B125" s="50" t="s">
        <v>1429</v>
      </c>
      <c r="C125" s="50" t="s">
        <v>1430</v>
      </c>
      <c r="D125" s="50" t="s">
        <v>79</v>
      </c>
      <c r="E125" s="50" t="s">
        <v>1431</v>
      </c>
    </row>
    <row r="126" spans="1:5">
      <c r="A126" s="50" t="s">
        <v>1419</v>
      </c>
      <c r="B126" s="50" t="s">
        <v>1432</v>
      </c>
      <c r="C126" s="50" t="s">
        <v>1433</v>
      </c>
      <c r="D126" s="50" t="s">
        <v>79</v>
      </c>
      <c r="E126" s="50" t="s">
        <v>1434</v>
      </c>
    </row>
    <row r="127" spans="1:5">
      <c r="A127" s="50" t="s">
        <v>1419</v>
      </c>
      <c r="B127" s="50" t="s">
        <v>1435</v>
      </c>
      <c r="C127" s="50" t="s">
        <v>1436</v>
      </c>
      <c r="D127" s="50" t="s">
        <v>79</v>
      </c>
      <c r="E127" s="50" t="s">
        <v>1437</v>
      </c>
    </row>
    <row r="128" spans="1:5">
      <c r="A128" s="50" t="s">
        <v>1419</v>
      </c>
      <c r="B128" s="50" t="s">
        <v>1438</v>
      </c>
      <c r="C128" s="50" t="s">
        <v>1439</v>
      </c>
      <c r="D128" s="50" t="s">
        <v>79</v>
      </c>
      <c r="E128" s="50" t="s">
        <v>1440</v>
      </c>
    </row>
    <row r="129" spans="1:5">
      <c r="A129" s="50" t="s">
        <v>1419</v>
      </c>
      <c r="B129" s="50" t="s">
        <v>1441</v>
      </c>
      <c r="C129" s="50" t="s">
        <v>1442</v>
      </c>
      <c r="D129" s="50" t="s">
        <v>79</v>
      </c>
      <c r="E129" s="50" t="s">
        <v>1443</v>
      </c>
    </row>
    <row r="130" spans="1:5">
      <c r="A130" s="50" t="s">
        <v>900</v>
      </c>
      <c r="B130" s="50" t="s">
        <v>1444</v>
      </c>
      <c r="C130" s="50" t="s">
        <v>1445</v>
      </c>
      <c r="D130" s="50" t="s">
        <v>105</v>
      </c>
      <c r="E130" s="50" t="s">
        <v>1446</v>
      </c>
    </row>
    <row r="131" spans="1:5">
      <c r="A131" s="50" t="s">
        <v>900</v>
      </c>
      <c r="B131" s="50" t="s">
        <v>1136</v>
      </c>
      <c r="C131" s="50" t="s">
        <v>1447</v>
      </c>
      <c r="D131" s="50" t="s">
        <v>105</v>
      </c>
      <c r="E131" s="50" t="s">
        <v>1448</v>
      </c>
    </row>
  </sheetData>
  <mergeCells count="1">
    <mergeCell ref="A1:E1"/>
  </mergeCells>
  <phoneticPr fontId="4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03"/>
  <sheetViews>
    <sheetView showGridLines="0" workbookViewId="0"/>
  </sheetViews>
  <sheetFormatPr defaultRowHeight="13.8"/>
  <cols>
    <col min="1" max="2" width="18" customWidth="1"/>
    <col min="3" max="3" width="16" customWidth="1"/>
    <col min="4" max="4" width="20" customWidth="1"/>
    <col min="5" max="5" width="30" customWidth="1"/>
    <col min="6" max="6" width="24" customWidth="1"/>
    <col min="7" max="8" width="14" customWidth="1"/>
    <col min="9" max="9" width="16" customWidth="1"/>
    <col min="10" max="10" width="14" customWidth="1"/>
    <col min="11" max="11" width="34" customWidth="1"/>
    <col min="12" max="12" width="30" customWidth="1"/>
    <col min="13" max="14" width="13" customWidth="1"/>
    <col min="15" max="16" width="18" customWidth="1"/>
    <col min="17" max="17" width="36" customWidth="1"/>
    <col min="18" max="18" width="16" customWidth="1"/>
    <col min="19" max="19" width="12" customWidth="1"/>
    <col min="20" max="20" width="14" customWidth="1"/>
    <col min="21" max="21" width="30" customWidth="1"/>
  </cols>
  <sheetData>
    <row r="1" spans="1:21" ht="30" customHeight="1">
      <c r="A1" s="121" t="s">
        <v>1449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</row>
    <row r="2" spans="1:21" ht="36" customHeight="1">
      <c r="A2" s="122" t="s">
        <v>1450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ht="42" customHeight="1">
      <c r="A3" s="63" t="s">
        <v>1451</v>
      </c>
      <c r="B3" s="63" t="s">
        <v>576</v>
      </c>
      <c r="C3" s="63" t="s">
        <v>1452</v>
      </c>
      <c r="D3" s="63" t="s">
        <v>579</v>
      </c>
      <c r="E3" s="63" t="s">
        <v>1453</v>
      </c>
      <c r="F3" s="63" t="s">
        <v>1084</v>
      </c>
      <c r="G3" s="63" t="s">
        <v>1454</v>
      </c>
      <c r="H3" s="63" t="s">
        <v>1455</v>
      </c>
      <c r="I3" s="63" t="s">
        <v>1456</v>
      </c>
      <c r="J3" s="63" t="s">
        <v>1457</v>
      </c>
      <c r="K3" s="63" t="s">
        <v>1458</v>
      </c>
      <c r="L3" s="63" t="s">
        <v>698</v>
      </c>
      <c r="M3" s="63" t="s">
        <v>581</v>
      </c>
      <c r="N3" s="63" t="s">
        <v>582</v>
      </c>
      <c r="O3" s="63" t="s">
        <v>117</v>
      </c>
      <c r="P3" s="63" t="s">
        <v>188</v>
      </c>
      <c r="Q3" s="63" t="s">
        <v>595</v>
      </c>
      <c r="R3" s="63" t="s">
        <v>192</v>
      </c>
      <c r="S3" s="63" t="s">
        <v>193</v>
      </c>
      <c r="T3" s="63" t="s">
        <v>129</v>
      </c>
      <c r="U3" s="63" t="s">
        <v>194</v>
      </c>
    </row>
    <row r="4" spans="1:2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5"/>
      <c r="T4" s="64"/>
      <c r="U4" s="64"/>
    </row>
    <row r="5" spans="1:2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  <c r="T5" s="64"/>
      <c r="U5" s="64"/>
    </row>
    <row r="6" spans="1:2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5"/>
      <c r="T6" s="64"/>
      <c r="U6" s="64"/>
    </row>
    <row r="7" spans="1:2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  <c r="T7" s="64"/>
      <c r="U7" s="64"/>
    </row>
    <row r="8" spans="1:2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5"/>
      <c r="T8" s="64"/>
      <c r="U8" s="64"/>
    </row>
    <row r="9" spans="1:2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5"/>
      <c r="T9" s="64"/>
      <c r="U9" s="64"/>
    </row>
    <row r="10" spans="1:2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5"/>
      <c r="T10" s="64"/>
      <c r="U10" s="64"/>
    </row>
    <row r="11" spans="1:2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5"/>
      <c r="T11" s="64"/>
      <c r="U11" s="64"/>
    </row>
    <row r="12" spans="1:2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4"/>
      <c r="U12" s="64"/>
    </row>
    <row r="13" spans="1:2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5"/>
      <c r="T13" s="64"/>
      <c r="U13" s="64"/>
    </row>
    <row r="14" spans="1:2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5"/>
      <c r="T14" s="64"/>
      <c r="U14" s="64"/>
    </row>
    <row r="15" spans="1:2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5"/>
      <c r="T15" s="64"/>
      <c r="U15" s="64"/>
    </row>
    <row r="16" spans="1:2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5"/>
      <c r="T16" s="64"/>
      <c r="U16" s="64"/>
    </row>
    <row r="17" spans="1:2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5"/>
      <c r="T17" s="64"/>
      <c r="U17" s="64"/>
    </row>
    <row r="18" spans="1:2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5"/>
      <c r="T18" s="64"/>
      <c r="U18" s="64"/>
    </row>
    <row r="19" spans="1:2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5"/>
      <c r="T19" s="64"/>
      <c r="U19" s="64"/>
    </row>
    <row r="20" spans="1:2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5"/>
      <c r="T20" s="64"/>
      <c r="U20" s="64"/>
    </row>
    <row r="21" spans="1:2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5"/>
      <c r="T21" s="64"/>
      <c r="U21" s="64"/>
    </row>
    <row r="22" spans="1:2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5"/>
      <c r="T22" s="64"/>
      <c r="U22" s="64"/>
    </row>
    <row r="23" spans="1:2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5"/>
      <c r="T23" s="64"/>
      <c r="U23" s="64"/>
    </row>
    <row r="24" spans="1:2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5"/>
      <c r="T24" s="64"/>
      <c r="U24" s="64"/>
    </row>
    <row r="25" spans="1:2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5"/>
      <c r="T25" s="64"/>
      <c r="U25" s="64"/>
    </row>
    <row r="26" spans="1:2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5"/>
      <c r="T26" s="64"/>
      <c r="U26" s="64"/>
    </row>
    <row r="27" spans="1:2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5"/>
      <c r="T27" s="64"/>
      <c r="U27" s="64"/>
    </row>
    <row r="28" spans="1:2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5"/>
      <c r="T28" s="64"/>
      <c r="U28" s="64"/>
    </row>
    <row r="29" spans="1:2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5"/>
      <c r="T29" s="64"/>
      <c r="U29" s="64"/>
    </row>
    <row r="30" spans="1:2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5"/>
      <c r="T30" s="64"/>
      <c r="U30" s="64"/>
    </row>
    <row r="31" spans="1:2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5"/>
      <c r="T31" s="64"/>
      <c r="U31" s="64"/>
    </row>
    <row r="32" spans="1:2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5"/>
      <c r="T32" s="64"/>
      <c r="U32" s="64"/>
    </row>
    <row r="33" spans="1:2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5"/>
      <c r="T33" s="64"/>
      <c r="U33" s="64"/>
    </row>
    <row r="34" spans="1:2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5"/>
      <c r="T34" s="64"/>
      <c r="U34" s="64"/>
    </row>
    <row r="35" spans="1:2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5"/>
      <c r="T35" s="64"/>
      <c r="U35" s="64"/>
    </row>
    <row r="36" spans="1:2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5"/>
      <c r="T36" s="64"/>
      <c r="U36" s="64"/>
    </row>
    <row r="37" spans="1:2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5"/>
      <c r="T37" s="64"/>
      <c r="U37" s="64"/>
    </row>
    <row r="38" spans="1:2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5"/>
      <c r="T38" s="64"/>
      <c r="U38" s="64"/>
    </row>
    <row r="39" spans="1:2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5"/>
      <c r="T39" s="64"/>
      <c r="U39" s="64"/>
    </row>
    <row r="40" spans="1:2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5"/>
      <c r="T40" s="64"/>
      <c r="U40" s="64"/>
    </row>
    <row r="41" spans="1:2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5"/>
      <c r="T41" s="64"/>
      <c r="U41" s="64"/>
    </row>
    <row r="42" spans="1:2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  <c r="T42" s="64"/>
      <c r="U42" s="64"/>
    </row>
    <row r="43" spans="1:2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5"/>
      <c r="T43" s="64"/>
      <c r="U43" s="64"/>
    </row>
    <row r="44" spans="1:2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5"/>
      <c r="T44" s="64"/>
      <c r="U44" s="64"/>
    </row>
    <row r="45" spans="1:2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5"/>
      <c r="T45" s="64"/>
      <c r="U45" s="64"/>
    </row>
    <row r="46" spans="1:2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5"/>
      <c r="T46" s="64"/>
      <c r="U46" s="64"/>
    </row>
    <row r="47" spans="1:2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5"/>
      <c r="T47" s="64"/>
      <c r="U47" s="64"/>
    </row>
    <row r="48" spans="1:2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5"/>
      <c r="T48" s="64"/>
      <c r="U48" s="64"/>
    </row>
    <row r="49" spans="1:2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5"/>
      <c r="T49" s="64"/>
      <c r="U49" s="64"/>
    </row>
    <row r="50" spans="1:2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5"/>
      <c r="T50" s="64"/>
      <c r="U50" s="64"/>
    </row>
    <row r="51" spans="1:2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5"/>
      <c r="T51" s="64"/>
      <c r="U51" s="64"/>
    </row>
    <row r="52" spans="1:2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5"/>
      <c r="T52" s="64"/>
      <c r="U52" s="64"/>
    </row>
    <row r="53" spans="1:2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5"/>
      <c r="T53" s="64"/>
      <c r="U53" s="64"/>
    </row>
    <row r="54" spans="1:2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5"/>
      <c r="T54" s="64"/>
      <c r="U54" s="64"/>
    </row>
    <row r="55" spans="1:2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5"/>
      <c r="T55" s="64"/>
      <c r="U55" s="64"/>
    </row>
    <row r="56" spans="1:2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5"/>
      <c r="T56" s="64"/>
      <c r="U56" s="64"/>
    </row>
    <row r="57" spans="1:2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5"/>
      <c r="T57" s="64"/>
      <c r="U57" s="64"/>
    </row>
    <row r="58" spans="1:2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5"/>
      <c r="T58" s="64"/>
      <c r="U58" s="64"/>
    </row>
    <row r="59" spans="1:2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5"/>
      <c r="T59" s="64"/>
      <c r="U59" s="64"/>
    </row>
    <row r="60" spans="1:2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5"/>
      <c r="T60" s="64"/>
      <c r="U60" s="64"/>
    </row>
    <row r="61" spans="1:2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5"/>
      <c r="T61" s="64"/>
      <c r="U61" s="64"/>
    </row>
    <row r="62" spans="1:2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5"/>
      <c r="T62" s="64"/>
      <c r="U62" s="64"/>
    </row>
    <row r="63" spans="1:2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5"/>
      <c r="T63" s="64"/>
      <c r="U63" s="64"/>
    </row>
    <row r="64" spans="1:2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5"/>
      <c r="T64" s="64"/>
      <c r="U64" s="64"/>
    </row>
    <row r="65" spans="1:2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5"/>
      <c r="T65" s="64"/>
      <c r="U65" s="64"/>
    </row>
    <row r="66" spans="1:2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5"/>
      <c r="T66" s="64"/>
      <c r="U66" s="64"/>
    </row>
    <row r="67" spans="1:2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5"/>
      <c r="T67" s="64"/>
      <c r="U67" s="64"/>
    </row>
    <row r="68" spans="1:2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5"/>
      <c r="T68" s="64"/>
      <c r="U68" s="64"/>
    </row>
    <row r="69" spans="1:2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5"/>
      <c r="T69" s="64"/>
      <c r="U69" s="64"/>
    </row>
    <row r="70" spans="1:2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5"/>
      <c r="T70" s="64"/>
      <c r="U70" s="64"/>
    </row>
    <row r="71" spans="1:2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5"/>
      <c r="T71" s="64"/>
      <c r="U71" s="64"/>
    </row>
    <row r="72" spans="1:2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5"/>
      <c r="T72" s="64"/>
      <c r="U72" s="64"/>
    </row>
    <row r="73" spans="1:2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5"/>
      <c r="T73" s="64"/>
      <c r="U73" s="64"/>
    </row>
    <row r="74" spans="1:2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5"/>
      <c r="T74" s="64"/>
      <c r="U74" s="64"/>
    </row>
    <row r="75" spans="1:2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5"/>
      <c r="T75" s="64"/>
      <c r="U75" s="64"/>
    </row>
    <row r="76" spans="1:2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5"/>
      <c r="T76" s="64"/>
      <c r="U76" s="64"/>
    </row>
    <row r="77" spans="1:2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5"/>
      <c r="T77" s="64"/>
      <c r="U77" s="64"/>
    </row>
    <row r="78" spans="1:2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5"/>
      <c r="T78" s="64"/>
      <c r="U78" s="64"/>
    </row>
    <row r="79" spans="1:2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5"/>
      <c r="T79" s="64"/>
      <c r="U79" s="64"/>
    </row>
    <row r="80" spans="1:2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5"/>
      <c r="T80" s="64"/>
      <c r="U80" s="64"/>
    </row>
    <row r="81" spans="1:2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5"/>
      <c r="T81" s="64"/>
      <c r="U81" s="64"/>
    </row>
    <row r="82" spans="1:2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5"/>
      <c r="T82" s="64"/>
      <c r="U82" s="64"/>
    </row>
    <row r="83" spans="1:2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5"/>
      <c r="T83" s="64"/>
      <c r="U83" s="64"/>
    </row>
    <row r="84" spans="1:2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5"/>
      <c r="T84" s="64"/>
      <c r="U84" s="64"/>
    </row>
    <row r="85" spans="1:2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5"/>
      <c r="T85" s="64"/>
      <c r="U85" s="64"/>
    </row>
    <row r="86" spans="1:2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5"/>
      <c r="T86" s="64"/>
      <c r="U86" s="64"/>
    </row>
    <row r="87" spans="1:2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5"/>
      <c r="T87" s="64"/>
      <c r="U87" s="64"/>
    </row>
    <row r="88" spans="1:2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5"/>
      <c r="T88" s="64"/>
      <c r="U88" s="64"/>
    </row>
    <row r="89" spans="1:2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5"/>
      <c r="T89" s="64"/>
      <c r="U89" s="64"/>
    </row>
    <row r="90" spans="1:2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5"/>
      <c r="T90" s="64"/>
      <c r="U90" s="64"/>
    </row>
    <row r="91" spans="1:2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5"/>
      <c r="T91" s="64"/>
      <c r="U91" s="64"/>
    </row>
    <row r="92" spans="1:2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5"/>
      <c r="T92" s="64"/>
      <c r="U92" s="64"/>
    </row>
    <row r="93" spans="1:2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5"/>
      <c r="T93" s="64"/>
      <c r="U93" s="64"/>
    </row>
    <row r="94" spans="1:2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5"/>
      <c r="T94" s="64"/>
      <c r="U94" s="64"/>
    </row>
    <row r="95" spans="1:2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5"/>
      <c r="T95" s="64"/>
      <c r="U95" s="64"/>
    </row>
    <row r="96" spans="1:2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5"/>
      <c r="T96" s="64"/>
      <c r="U96" s="64"/>
    </row>
    <row r="97" spans="1:2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5"/>
      <c r="T97" s="64"/>
      <c r="U97" s="64"/>
    </row>
    <row r="98" spans="1:2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5"/>
      <c r="T98" s="64"/>
      <c r="U98" s="64"/>
    </row>
    <row r="99" spans="1:2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5"/>
      <c r="T99" s="64"/>
      <c r="U99" s="64"/>
    </row>
    <row r="100" spans="1:2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5"/>
      <c r="T100" s="64"/>
      <c r="U100" s="64"/>
    </row>
    <row r="101" spans="1:2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5"/>
      <c r="T101" s="64"/>
      <c r="U101" s="64"/>
    </row>
    <row r="102" spans="1:2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5"/>
      <c r="T102" s="64"/>
      <c r="U102" s="64"/>
    </row>
    <row r="103" spans="1:2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5"/>
      <c r="T103" s="64"/>
      <c r="U103" s="64"/>
    </row>
    <row r="104" spans="1:2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5"/>
      <c r="T104" s="64"/>
      <c r="U104" s="64"/>
    </row>
    <row r="105" spans="1:2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5"/>
      <c r="T105" s="64"/>
      <c r="U105" s="64"/>
    </row>
    <row r="106" spans="1:2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5"/>
      <c r="T106" s="64"/>
      <c r="U106" s="64"/>
    </row>
    <row r="107" spans="1:2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5"/>
      <c r="T107" s="64"/>
      <c r="U107" s="64"/>
    </row>
    <row r="108" spans="1:2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5"/>
      <c r="T108" s="64"/>
      <c r="U108" s="64"/>
    </row>
    <row r="109" spans="1:2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5"/>
      <c r="T109" s="64"/>
      <c r="U109" s="64"/>
    </row>
    <row r="110" spans="1:2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5"/>
      <c r="T110" s="64"/>
      <c r="U110" s="64"/>
    </row>
    <row r="111" spans="1:2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5"/>
      <c r="T111" s="64"/>
      <c r="U111" s="64"/>
    </row>
    <row r="112" spans="1:2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5"/>
      <c r="T112" s="64"/>
      <c r="U112" s="64"/>
    </row>
    <row r="113" spans="1:2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5"/>
      <c r="T113" s="64"/>
      <c r="U113" s="64"/>
    </row>
    <row r="114" spans="1:2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5"/>
      <c r="T114" s="64"/>
      <c r="U114" s="64"/>
    </row>
    <row r="115" spans="1:2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5"/>
      <c r="T115" s="64"/>
      <c r="U115" s="64"/>
    </row>
    <row r="116" spans="1:2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5"/>
      <c r="T116" s="64"/>
      <c r="U116" s="64"/>
    </row>
    <row r="117" spans="1:2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5"/>
      <c r="T117" s="64"/>
      <c r="U117" s="64"/>
    </row>
    <row r="118" spans="1:2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5"/>
      <c r="T118" s="64"/>
      <c r="U118" s="64"/>
    </row>
    <row r="119" spans="1:2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5"/>
      <c r="T119" s="64"/>
      <c r="U119" s="64"/>
    </row>
    <row r="120" spans="1:2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5"/>
      <c r="T120" s="64"/>
      <c r="U120" s="64"/>
    </row>
    <row r="121" spans="1:2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5"/>
      <c r="T121" s="64"/>
      <c r="U121" s="64"/>
    </row>
    <row r="122" spans="1:2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5"/>
      <c r="T122" s="64"/>
      <c r="U122" s="64"/>
    </row>
    <row r="123" spans="1:2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5"/>
      <c r="T123" s="64"/>
      <c r="U123" s="64"/>
    </row>
    <row r="124" spans="1:2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5"/>
      <c r="T124" s="64"/>
      <c r="U124" s="64"/>
    </row>
    <row r="125" spans="1:2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5"/>
      <c r="T125" s="64"/>
      <c r="U125" s="64"/>
    </row>
    <row r="126" spans="1:2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5"/>
      <c r="T126" s="64"/>
      <c r="U126" s="64"/>
    </row>
    <row r="127" spans="1:2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5"/>
      <c r="T127" s="64"/>
      <c r="U127" s="64"/>
    </row>
    <row r="128" spans="1:2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5"/>
      <c r="T128" s="64"/>
      <c r="U128" s="64"/>
    </row>
    <row r="129" spans="1:2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5"/>
      <c r="T129" s="64"/>
      <c r="U129" s="64"/>
    </row>
    <row r="130" spans="1:2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5"/>
      <c r="T130" s="64"/>
      <c r="U130" s="64"/>
    </row>
    <row r="131" spans="1:2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5"/>
      <c r="T131" s="64"/>
      <c r="U131" s="64"/>
    </row>
    <row r="132" spans="1:2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5"/>
      <c r="T132" s="64"/>
      <c r="U132" s="64"/>
    </row>
    <row r="133" spans="1:2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5"/>
      <c r="T133" s="64"/>
      <c r="U133" s="64"/>
    </row>
    <row r="134" spans="1:2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5"/>
      <c r="T134" s="64"/>
      <c r="U134" s="64"/>
    </row>
    <row r="135" spans="1:2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5"/>
      <c r="T135" s="64"/>
      <c r="U135" s="64"/>
    </row>
    <row r="136" spans="1:2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5"/>
      <c r="T136" s="64"/>
      <c r="U136" s="64"/>
    </row>
    <row r="137" spans="1:2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5"/>
      <c r="T137" s="64"/>
      <c r="U137" s="64"/>
    </row>
    <row r="138" spans="1:2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5"/>
      <c r="T138" s="64"/>
      <c r="U138" s="64"/>
    </row>
    <row r="139" spans="1:2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5"/>
      <c r="T139" s="64"/>
      <c r="U139" s="64"/>
    </row>
    <row r="140" spans="1:2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5"/>
      <c r="T140" s="64"/>
      <c r="U140" s="64"/>
    </row>
    <row r="141" spans="1:2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5"/>
      <c r="T141" s="64"/>
      <c r="U141" s="64"/>
    </row>
    <row r="142" spans="1:2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5"/>
      <c r="T142" s="64"/>
      <c r="U142" s="64"/>
    </row>
    <row r="143" spans="1:2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5"/>
      <c r="T143" s="64"/>
      <c r="U143" s="64"/>
    </row>
    <row r="144" spans="1:2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5"/>
      <c r="T144" s="64"/>
      <c r="U144" s="64"/>
    </row>
    <row r="145" spans="1:2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5"/>
      <c r="T145" s="64"/>
      <c r="U145" s="64"/>
    </row>
    <row r="146" spans="1:2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5"/>
      <c r="T146" s="64"/>
      <c r="U146" s="64"/>
    </row>
    <row r="147" spans="1:2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5"/>
      <c r="T147" s="64"/>
      <c r="U147" s="64"/>
    </row>
    <row r="148" spans="1:2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5"/>
      <c r="T148" s="64"/>
      <c r="U148" s="64"/>
    </row>
    <row r="149" spans="1:2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5"/>
      <c r="T149" s="64"/>
      <c r="U149" s="64"/>
    </row>
    <row r="150" spans="1:2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5"/>
      <c r="T150" s="64"/>
      <c r="U150" s="64"/>
    </row>
    <row r="151" spans="1:2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5"/>
      <c r="T151" s="64"/>
      <c r="U151" s="64"/>
    </row>
    <row r="152" spans="1:2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5"/>
      <c r="T152" s="64"/>
      <c r="U152" s="64"/>
    </row>
    <row r="153" spans="1:2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5"/>
      <c r="T153" s="64"/>
      <c r="U153" s="64"/>
    </row>
    <row r="154" spans="1:2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5"/>
      <c r="T154" s="64"/>
      <c r="U154" s="64"/>
    </row>
    <row r="155" spans="1:2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5"/>
      <c r="T155" s="64"/>
      <c r="U155" s="64"/>
    </row>
    <row r="156" spans="1:2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5"/>
      <c r="T156" s="64"/>
      <c r="U156" s="64"/>
    </row>
    <row r="157" spans="1:2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5"/>
      <c r="T157" s="64"/>
      <c r="U157" s="64"/>
    </row>
    <row r="158" spans="1:2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5"/>
      <c r="T158" s="64"/>
      <c r="U158" s="64"/>
    </row>
    <row r="159" spans="1:2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5"/>
      <c r="T159" s="64"/>
      <c r="U159" s="64"/>
    </row>
    <row r="160" spans="1:2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5"/>
      <c r="T160" s="64"/>
      <c r="U160" s="64"/>
    </row>
    <row r="161" spans="1:2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5"/>
      <c r="T161" s="64"/>
      <c r="U161" s="64"/>
    </row>
    <row r="162" spans="1:2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5"/>
      <c r="T162" s="64"/>
      <c r="U162" s="64"/>
    </row>
    <row r="163" spans="1:2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5"/>
      <c r="T163" s="64"/>
      <c r="U163" s="64"/>
    </row>
    <row r="164" spans="1:2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5"/>
      <c r="T164" s="64"/>
      <c r="U164" s="64"/>
    </row>
    <row r="165" spans="1:2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5"/>
      <c r="T165" s="64"/>
      <c r="U165" s="64"/>
    </row>
    <row r="166" spans="1:2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5"/>
      <c r="T166" s="64"/>
      <c r="U166" s="64"/>
    </row>
    <row r="167" spans="1:2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5"/>
      <c r="T167" s="64"/>
      <c r="U167" s="64"/>
    </row>
    <row r="168" spans="1:2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5"/>
      <c r="T168" s="64"/>
      <c r="U168" s="64"/>
    </row>
    <row r="169" spans="1:2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5"/>
      <c r="T169" s="64"/>
      <c r="U169" s="64"/>
    </row>
    <row r="170" spans="1:2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5"/>
      <c r="T170" s="64"/>
      <c r="U170" s="64"/>
    </row>
    <row r="171" spans="1:2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5"/>
      <c r="T171" s="64"/>
      <c r="U171" s="64"/>
    </row>
    <row r="172" spans="1:2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5"/>
      <c r="T172" s="64"/>
      <c r="U172" s="64"/>
    </row>
    <row r="173" spans="1:2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5"/>
      <c r="T173" s="64"/>
      <c r="U173" s="64"/>
    </row>
    <row r="174" spans="1:2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5"/>
      <c r="T174" s="64"/>
      <c r="U174" s="64"/>
    </row>
    <row r="175" spans="1:2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5"/>
      <c r="T175" s="64"/>
      <c r="U175" s="64"/>
    </row>
    <row r="176" spans="1:2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5"/>
      <c r="T176" s="64"/>
      <c r="U176" s="64"/>
    </row>
    <row r="177" spans="1:2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5"/>
      <c r="T177" s="64"/>
      <c r="U177" s="64"/>
    </row>
    <row r="178" spans="1:2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5"/>
      <c r="T178" s="64"/>
      <c r="U178" s="64"/>
    </row>
    <row r="179" spans="1:2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5"/>
      <c r="T179" s="64"/>
      <c r="U179" s="64"/>
    </row>
    <row r="180" spans="1:2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5"/>
      <c r="T180" s="64"/>
      <c r="U180" s="64"/>
    </row>
    <row r="181" spans="1:2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5"/>
      <c r="T181" s="64"/>
      <c r="U181" s="64"/>
    </row>
    <row r="182" spans="1:2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5"/>
      <c r="T182" s="64"/>
      <c r="U182" s="64"/>
    </row>
    <row r="183" spans="1:2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5"/>
      <c r="T183" s="64"/>
      <c r="U183" s="64"/>
    </row>
    <row r="184" spans="1:2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5"/>
      <c r="T184" s="64"/>
      <c r="U184" s="64"/>
    </row>
    <row r="185" spans="1:2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5"/>
      <c r="T185" s="64"/>
      <c r="U185" s="64"/>
    </row>
    <row r="186" spans="1:2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5"/>
      <c r="T186" s="64"/>
      <c r="U186" s="64"/>
    </row>
    <row r="187" spans="1:2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5"/>
      <c r="T187" s="64"/>
      <c r="U187" s="64"/>
    </row>
    <row r="188" spans="1:2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5"/>
      <c r="T188" s="64"/>
      <c r="U188" s="64"/>
    </row>
    <row r="189" spans="1:2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5"/>
      <c r="T189" s="64"/>
      <c r="U189" s="64"/>
    </row>
    <row r="190" spans="1:2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5"/>
      <c r="T190" s="64"/>
      <c r="U190" s="64"/>
    </row>
    <row r="191" spans="1:2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5"/>
      <c r="T191" s="64"/>
      <c r="U191" s="64"/>
    </row>
    <row r="192" spans="1:2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5"/>
      <c r="T192" s="64"/>
      <c r="U192" s="64"/>
    </row>
    <row r="193" spans="1:2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5"/>
      <c r="T193" s="64"/>
      <c r="U193" s="64"/>
    </row>
    <row r="194" spans="1:2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5"/>
      <c r="T194" s="64"/>
      <c r="U194" s="64"/>
    </row>
    <row r="195" spans="1:2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5"/>
      <c r="T195" s="64"/>
      <c r="U195" s="64"/>
    </row>
    <row r="196" spans="1:2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5"/>
      <c r="T196" s="64"/>
      <c r="U196" s="64"/>
    </row>
    <row r="197" spans="1:2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5"/>
      <c r="T197" s="64"/>
      <c r="U197" s="64"/>
    </row>
    <row r="198" spans="1:2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5"/>
      <c r="T198" s="64"/>
      <c r="U198" s="64"/>
    </row>
    <row r="199" spans="1:2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5"/>
      <c r="T199" s="64"/>
      <c r="U199" s="64"/>
    </row>
    <row r="200" spans="1:2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5"/>
      <c r="T200" s="64"/>
      <c r="U200" s="64"/>
    </row>
    <row r="201" spans="1:2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5"/>
      <c r="T201" s="64"/>
      <c r="U201" s="64"/>
    </row>
    <row r="202" spans="1:2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5"/>
      <c r="T202" s="64"/>
      <c r="U202" s="64"/>
    </row>
    <row r="203" spans="1:2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5"/>
      <c r="T203" s="64"/>
      <c r="U203" s="64"/>
    </row>
  </sheetData>
  <mergeCells count="2">
    <mergeCell ref="A1:U1"/>
    <mergeCell ref="A2:U2"/>
  </mergeCells>
  <phoneticPr fontId="49" type="noConversion"/>
  <dataValidations count="3">
    <dataValidation type="list" sqref="T4:T203" xr:uid="{00000000-0002-0000-1200-000000000000}">
      <formula1>"草稿,待审核,通过,驳回,争议"</formula1>
    </dataValidation>
    <dataValidation type="list" sqref="R4:R203" xr:uid="{00000000-0002-0000-1200-000001000000}">
      <formula1>"史料直述,考古测量,地图测量,现代研究,计算结果,推导结论"</formula1>
    </dataValidation>
    <dataValidation type="decimal" sqref="S4:S203" xr:uid="{00000000-0002-0000-1200-000002000000}">
      <formula1>0</formula1>
      <formula2>1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03"/>
  <sheetViews>
    <sheetView showGridLines="0" workbookViewId="0"/>
  </sheetViews>
  <sheetFormatPr defaultRowHeight="13.8"/>
  <cols>
    <col min="1" max="1" width="18" customWidth="1"/>
    <col min="2" max="2" width="20" customWidth="1"/>
    <col min="3" max="3" width="18" customWidth="1"/>
    <col min="4" max="4" width="20" customWidth="1"/>
    <col min="5" max="5" width="16" customWidth="1"/>
    <col min="6" max="8" width="18" customWidth="1"/>
    <col min="9" max="9" width="20" customWidth="1"/>
    <col min="10" max="14" width="24" customWidth="1"/>
    <col min="15" max="17" width="13" customWidth="1"/>
    <col min="18" max="18" width="30" customWidth="1"/>
    <col min="19" max="20" width="10" customWidth="1"/>
    <col min="21" max="21" width="28" customWidth="1"/>
    <col min="22" max="23" width="12" customWidth="1"/>
    <col min="24" max="24" width="14" customWidth="1"/>
    <col min="25" max="25" width="28" customWidth="1"/>
    <col min="26" max="27" width="13" customWidth="1"/>
    <col min="28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0" customWidth="1"/>
  </cols>
  <sheetData>
    <row r="1" spans="1:34" ht="30" customHeight="1">
      <c r="A1" s="121" t="s">
        <v>1459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34" ht="36" customHeight="1">
      <c r="A2" s="122" t="s">
        <v>1460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4" ht="42" customHeight="1">
      <c r="A3" s="63" t="s">
        <v>1461</v>
      </c>
      <c r="B3" s="63" t="s">
        <v>576</v>
      </c>
      <c r="C3" s="63" t="s">
        <v>577</v>
      </c>
      <c r="D3" s="63" t="s">
        <v>579</v>
      </c>
      <c r="E3" s="63" t="s">
        <v>578</v>
      </c>
      <c r="F3" s="63" t="s">
        <v>1462</v>
      </c>
      <c r="G3" s="63" t="s">
        <v>983</v>
      </c>
      <c r="H3" s="63" t="s">
        <v>1463</v>
      </c>
      <c r="I3" s="63" t="s">
        <v>691</v>
      </c>
      <c r="J3" s="63" t="s">
        <v>692</v>
      </c>
      <c r="K3" s="63" t="s">
        <v>1464</v>
      </c>
      <c r="L3" s="63" t="s">
        <v>1465</v>
      </c>
      <c r="M3" s="63" t="s">
        <v>834</v>
      </c>
      <c r="N3" s="63" t="s">
        <v>695</v>
      </c>
      <c r="O3" s="63" t="s">
        <v>841</v>
      </c>
      <c r="P3" s="63" t="s">
        <v>1466</v>
      </c>
      <c r="Q3" s="63" t="s">
        <v>843</v>
      </c>
      <c r="R3" s="63" t="s">
        <v>1453</v>
      </c>
      <c r="S3" s="63" t="s">
        <v>614</v>
      </c>
      <c r="T3" s="63" t="s">
        <v>618</v>
      </c>
      <c r="U3" s="63" t="s">
        <v>599</v>
      </c>
      <c r="V3" s="63" t="s">
        <v>837</v>
      </c>
      <c r="W3" s="63" t="s">
        <v>838</v>
      </c>
      <c r="X3" s="63" t="s">
        <v>839</v>
      </c>
      <c r="Y3" s="63" t="s">
        <v>698</v>
      </c>
      <c r="Z3" s="63" t="s">
        <v>581</v>
      </c>
      <c r="AA3" s="63" t="s">
        <v>582</v>
      </c>
      <c r="AB3" s="63" t="s">
        <v>117</v>
      </c>
      <c r="AC3" s="63" t="s">
        <v>188</v>
      </c>
      <c r="AD3" s="63" t="s">
        <v>595</v>
      </c>
      <c r="AE3" s="63" t="s">
        <v>192</v>
      </c>
      <c r="AF3" s="63" t="s">
        <v>193</v>
      </c>
      <c r="AG3" s="63" t="s">
        <v>129</v>
      </c>
      <c r="AH3" s="63" t="s">
        <v>844</v>
      </c>
    </row>
    <row r="4" spans="1:34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5"/>
      <c r="AG4" s="64"/>
      <c r="AH4" s="64"/>
    </row>
    <row r="5" spans="1:34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5"/>
      <c r="AG5" s="64"/>
      <c r="AH5" s="64"/>
    </row>
    <row r="6" spans="1:34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  <c r="AG6" s="64"/>
      <c r="AH6" s="64"/>
    </row>
    <row r="7" spans="1:34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/>
      <c r="AG7" s="64"/>
      <c r="AH7" s="64"/>
    </row>
    <row r="8" spans="1:34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5"/>
      <c r="AG8" s="64"/>
      <c r="AH8" s="64"/>
    </row>
    <row r="9" spans="1:34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5"/>
      <c r="AG9" s="64"/>
      <c r="AH9" s="64"/>
    </row>
    <row r="10" spans="1:34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5"/>
      <c r="AG10" s="64"/>
      <c r="AH10" s="64"/>
    </row>
    <row r="11" spans="1:34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5"/>
      <c r="AG11" s="64"/>
      <c r="AH11" s="64"/>
    </row>
    <row r="12" spans="1:34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5"/>
      <c r="AG12" s="64"/>
      <c r="AH12" s="64"/>
    </row>
    <row r="13" spans="1:34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5"/>
      <c r="AG13" s="64"/>
      <c r="AH13" s="64"/>
    </row>
    <row r="14" spans="1:34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5"/>
      <c r="AG14" s="64"/>
      <c r="AH14" s="64"/>
    </row>
    <row r="15" spans="1:34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5"/>
      <c r="AG15" s="64"/>
      <c r="AH15" s="64"/>
    </row>
    <row r="16" spans="1:34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5"/>
      <c r="AG16" s="64"/>
      <c r="AH16" s="64"/>
    </row>
    <row r="17" spans="1:34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5"/>
      <c r="AG17" s="64"/>
      <c r="AH17" s="64"/>
    </row>
    <row r="18" spans="1:34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5"/>
      <c r="AG18" s="64"/>
      <c r="AH18" s="64"/>
    </row>
    <row r="19" spans="1:34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5"/>
      <c r="AG19" s="64"/>
      <c r="AH19" s="64"/>
    </row>
    <row r="20" spans="1:34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5"/>
      <c r="AG20" s="64"/>
      <c r="AH20" s="64"/>
    </row>
    <row r="21" spans="1:34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5"/>
      <c r="AG21" s="64"/>
      <c r="AH21" s="64"/>
    </row>
    <row r="22" spans="1:34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5"/>
      <c r="AG22" s="64"/>
      <c r="AH22" s="64"/>
    </row>
    <row r="23" spans="1:34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5"/>
      <c r="AG23" s="64"/>
      <c r="AH23" s="64"/>
    </row>
    <row r="24" spans="1:34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5"/>
      <c r="AG24" s="64"/>
      <c r="AH24" s="64"/>
    </row>
    <row r="25" spans="1:34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5"/>
      <c r="AG25" s="64"/>
      <c r="AH25" s="64"/>
    </row>
    <row r="26" spans="1:34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5"/>
      <c r="AG26" s="64"/>
      <c r="AH26" s="64"/>
    </row>
    <row r="27" spans="1:34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5"/>
      <c r="AG27" s="64"/>
      <c r="AH27" s="64"/>
    </row>
    <row r="28" spans="1:34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5"/>
      <c r="AG28" s="64"/>
      <c r="AH28" s="64"/>
    </row>
    <row r="29" spans="1:34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5"/>
      <c r="AG29" s="64"/>
      <c r="AH29" s="64"/>
    </row>
    <row r="30" spans="1:34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5"/>
      <c r="AG30" s="64"/>
      <c r="AH30" s="64"/>
    </row>
    <row r="31" spans="1:34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5"/>
      <c r="AG31" s="64"/>
      <c r="AH31" s="64"/>
    </row>
    <row r="32" spans="1:34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5"/>
      <c r="AG32" s="64"/>
      <c r="AH32" s="64"/>
    </row>
    <row r="33" spans="1:34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5"/>
      <c r="AG33" s="64"/>
      <c r="AH33" s="64"/>
    </row>
    <row r="34" spans="1:34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5"/>
      <c r="AG34" s="64"/>
      <c r="AH34" s="64"/>
    </row>
    <row r="35" spans="1:34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5"/>
      <c r="AG35" s="64"/>
      <c r="AH35" s="64"/>
    </row>
    <row r="36" spans="1:34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5"/>
      <c r="AG36" s="64"/>
      <c r="AH36" s="64"/>
    </row>
    <row r="37" spans="1:34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5"/>
      <c r="AG37" s="64"/>
      <c r="AH37" s="64"/>
    </row>
    <row r="38" spans="1:34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5"/>
      <c r="AG38" s="64"/>
      <c r="AH38" s="64"/>
    </row>
    <row r="39" spans="1:34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5"/>
      <c r="AG39" s="64"/>
      <c r="AH39" s="64"/>
    </row>
    <row r="40" spans="1:34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  <c r="AG40" s="64"/>
      <c r="AH40" s="64"/>
    </row>
    <row r="41" spans="1:34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  <c r="AG41" s="64"/>
      <c r="AH41" s="64"/>
    </row>
    <row r="42" spans="1:34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  <c r="AG42" s="64"/>
      <c r="AH42" s="64"/>
    </row>
    <row r="43" spans="1:34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5"/>
      <c r="AG43" s="64"/>
      <c r="AH43" s="64"/>
    </row>
    <row r="44" spans="1:34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5"/>
      <c r="AG44" s="64"/>
      <c r="AH44" s="64"/>
    </row>
    <row r="45" spans="1:34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5"/>
      <c r="AG45" s="64"/>
      <c r="AH45" s="64"/>
    </row>
    <row r="46" spans="1:34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5"/>
      <c r="AG46" s="64"/>
      <c r="AH46" s="64"/>
    </row>
    <row r="47" spans="1:34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5"/>
      <c r="AG47" s="64"/>
      <c r="AH47" s="64"/>
    </row>
    <row r="48" spans="1:34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5"/>
      <c r="AG48" s="64"/>
      <c r="AH48" s="64"/>
    </row>
    <row r="49" spans="1:34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5"/>
      <c r="AG49" s="64"/>
      <c r="AH49" s="64"/>
    </row>
    <row r="50" spans="1:34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5"/>
      <c r="AG50" s="64"/>
      <c r="AH50" s="64"/>
    </row>
    <row r="51" spans="1:34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5"/>
      <c r="AG51" s="64"/>
      <c r="AH51" s="64"/>
    </row>
    <row r="52" spans="1:34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5"/>
      <c r="AG52" s="64"/>
      <c r="AH52" s="64"/>
    </row>
    <row r="53" spans="1:34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5"/>
      <c r="AG53" s="64"/>
      <c r="AH53" s="64"/>
    </row>
    <row r="54" spans="1:34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5"/>
      <c r="AG54" s="64"/>
      <c r="AH54" s="64"/>
    </row>
    <row r="55" spans="1:34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5"/>
      <c r="AG55" s="64"/>
      <c r="AH55" s="64"/>
    </row>
    <row r="56" spans="1:34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5"/>
      <c r="AG56" s="64"/>
      <c r="AH56" s="64"/>
    </row>
    <row r="57" spans="1:34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5"/>
      <c r="AG57" s="64"/>
      <c r="AH57" s="64"/>
    </row>
    <row r="58" spans="1:34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5"/>
      <c r="AG58" s="64"/>
      <c r="AH58" s="64"/>
    </row>
    <row r="59" spans="1:34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5"/>
      <c r="AG59" s="64"/>
      <c r="AH59" s="64"/>
    </row>
    <row r="60" spans="1:34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5"/>
      <c r="AG60" s="64"/>
      <c r="AH60" s="64"/>
    </row>
    <row r="61" spans="1:34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5"/>
      <c r="AG61" s="64"/>
      <c r="AH61" s="64"/>
    </row>
    <row r="62" spans="1:34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5"/>
      <c r="AG62" s="64"/>
      <c r="AH62" s="64"/>
    </row>
    <row r="63" spans="1:34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5"/>
      <c r="AG63" s="64"/>
      <c r="AH63" s="64"/>
    </row>
    <row r="64" spans="1:34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5"/>
      <c r="AG64" s="64"/>
      <c r="AH64" s="64"/>
    </row>
    <row r="65" spans="1:34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5"/>
      <c r="AG65" s="64"/>
      <c r="AH65" s="64"/>
    </row>
    <row r="66" spans="1:34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5"/>
      <c r="AG66" s="64"/>
      <c r="AH66" s="64"/>
    </row>
    <row r="67" spans="1:34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5"/>
      <c r="AG67" s="64"/>
      <c r="AH67" s="64"/>
    </row>
    <row r="68" spans="1:34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5"/>
      <c r="AG68" s="64"/>
      <c r="AH68" s="64"/>
    </row>
    <row r="69" spans="1:34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5"/>
      <c r="AG69" s="64"/>
      <c r="AH69" s="64"/>
    </row>
    <row r="70" spans="1:34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5"/>
      <c r="AG70" s="64"/>
      <c r="AH70" s="64"/>
    </row>
    <row r="71" spans="1:34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5"/>
      <c r="AG71" s="64"/>
      <c r="AH71" s="64"/>
    </row>
    <row r="72" spans="1:34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5"/>
      <c r="AG72" s="64"/>
      <c r="AH72" s="64"/>
    </row>
    <row r="73" spans="1:34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5"/>
      <c r="AG73" s="64"/>
      <c r="AH73" s="64"/>
    </row>
    <row r="74" spans="1:34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5"/>
      <c r="AG74" s="64"/>
      <c r="AH74" s="64"/>
    </row>
    <row r="75" spans="1:34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5"/>
      <c r="AG75" s="64"/>
      <c r="AH75" s="64"/>
    </row>
    <row r="76" spans="1:34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5"/>
      <c r="AG76" s="64"/>
      <c r="AH76" s="64"/>
    </row>
    <row r="77" spans="1:34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5"/>
      <c r="AG77" s="64"/>
      <c r="AH77" s="64"/>
    </row>
    <row r="78" spans="1:34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5"/>
      <c r="AG78" s="64"/>
      <c r="AH78" s="64"/>
    </row>
    <row r="79" spans="1:34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5"/>
      <c r="AG79" s="64"/>
      <c r="AH79" s="64"/>
    </row>
    <row r="80" spans="1:34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5"/>
      <c r="AG80" s="64"/>
      <c r="AH80" s="64"/>
    </row>
    <row r="81" spans="1:34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5"/>
      <c r="AG81" s="64"/>
      <c r="AH81" s="64"/>
    </row>
    <row r="82" spans="1:34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5"/>
      <c r="AG82" s="64"/>
      <c r="AH82" s="64"/>
    </row>
    <row r="83" spans="1:34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5"/>
      <c r="AG83" s="64"/>
      <c r="AH83" s="64"/>
    </row>
    <row r="84" spans="1:34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5"/>
      <c r="AG84" s="64"/>
      <c r="AH84" s="64"/>
    </row>
    <row r="85" spans="1:34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5"/>
      <c r="AG85" s="64"/>
      <c r="AH85" s="64"/>
    </row>
    <row r="86" spans="1:34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5"/>
      <c r="AG86" s="64"/>
      <c r="AH86" s="64"/>
    </row>
    <row r="87" spans="1:34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5"/>
      <c r="AG87" s="64"/>
      <c r="AH87" s="64"/>
    </row>
    <row r="88" spans="1:34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5"/>
      <c r="AG88" s="64"/>
      <c r="AH88" s="64"/>
    </row>
    <row r="89" spans="1:34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5"/>
      <c r="AG89" s="64"/>
      <c r="AH89" s="64"/>
    </row>
    <row r="90" spans="1:34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5"/>
      <c r="AG90" s="64"/>
      <c r="AH90" s="64"/>
    </row>
    <row r="91" spans="1:34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5"/>
      <c r="AG91" s="64"/>
      <c r="AH91" s="64"/>
    </row>
    <row r="92" spans="1:34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5"/>
      <c r="AG92" s="64"/>
      <c r="AH92" s="64"/>
    </row>
    <row r="93" spans="1:34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5"/>
      <c r="AG93" s="64"/>
      <c r="AH93" s="64"/>
    </row>
    <row r="94" spans="1:34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5"/>
      <c r="AG94" s="64"/>
      <c r="AH94" s="64"/>
    </row>
    <row r="95" spans="1:34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5"/>
      <c r="AG95" s="64"/>
      <c r="AH95" s="64"/>
    </row>
    <row r="96" spans="1:34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5"/>
      <c r="AG96" s="64"/>
      <c r="AH96" s="64"/>
    </row>
    <row r="97" spans="1:34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5"/>
      <c r="AG97" s="64"/>
      <c r="AH97" s="64"/>
    </row>
    <row r="98" spans="1:34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5"/>
      <c r="AG98" s="64"/>
      <c r="AH98" s="64"/>
    </row>
    <row r="99" spans="1:34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5"/>
      <c r="AG99" s="64"/>
      <c r="AH99" s="64"/>
    </row>
    <row r="100" spans="1:34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5"/>
      <c r="AG100" s="64"/>
      <c r="AH100" s="64"/>
    </row>
    <row r="101" spans="1:34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5"/>
      <c r="AG101" s="64"/>
      <c r="AH101" s="64"/>
    </row>
    <row r="102" spans="1:34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5"/>
      <c r="AG102" s="64"/>
      <c r="AH102" s="64"/>
    </row>
    <row r="103" spans="1:34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5"/>
      <c r="AG103" s="64"/>
      <c r="AH103" s="64"/>
    </row>
    <row r="104" spans="1:34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5"/>
      <c r="AG104" s="64"/>
      <c r="AH104" s="64"/>
    </row>
    <row r="105" spans="1:34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5"/>
      <c r="AG105" s="64"/>
      <c r="AH105" s="64"/>
    </row>
    <row r="106" spans="1:34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5"/>
      <c r="AG106" s="64"/>
      <c r="AH106" s="64"/>
    </row>
    <row r="107" spans="1:34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5"/>
      <c r="AG107" s="64"/>
      <c r="AH107" s="64"/>
    </row>
    <row r="108" spans="1:34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5"/>
      <c r="AG108" s="64"/>
      <c r="AH108" s="64"/>
    </row>
    <row r="109" spans="1:34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5"/>
      <c r="AG109" s="64"/>
      <c r="AH109" s="64"/>
    </row>
    <row r="110" spans="1:34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5"/>
      <c r="AG110" s="64"/>
      <c r="AH110" s="64"/>
    </row>
    <row r="111" spans="1:34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5"/>
      <c r="AG111" s="64"/>
      <c r="AH111" s="64"/>
    </row>
    <row r="112" spans="1:34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5"/>
      <c r="AG112" s="64"/>
      <c r="AH112" s="64"/>
    </row>
    <row r="113" spans="1:34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5"/>
      <c r="AG113" s="64"/>
      <c r="AH113" s="64"/>
    </row>
    <row r="114" spans="1:34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5"/>
      <c r="AG114" s="64"/>
      <c r="AH114" s="64"/>
    </row>
    <row r="115" spans="1:34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5"/>
      <c r="AG115" s="64"/>
      <c r="AH115" s="64"/>
    </row>
    <row r="116" spans="1:34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5"/>
      <c r="AG116" s="64"/>
      <c r="AH116" s="64"/>
    </row>
    <row r="117" spans="1:34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5"/>
      <c r="AG117" s="64"/>
      <c r="AH117" s="64"/>
    </row>
    <row r="118" spans="1:34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5"/>
      <c r="AG118" s="64"/>
      <c r="AH118" s="64"/>
    </row>
    <row r="119" spans="1:34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5"/>
      <c r="AG119" s="64"/>
      <c r="AH119" s="64"/>
    </row>
    <row r="120" spans="1:34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5"/>
      <c r="AG120" s="64"/>
      <c r="AH120" s="64"/>
    </row>
    <row r="121" spans="1:34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5"/>
      <c r="AG121" s="64"/>
      <c r="AH121" s="64"/>
    </row>
    <row r="122" spans="1:34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5"/>
      <c r="AG122" s="64"/>
      <c r="AH122" s="64"/>
    </row>
    <row r="123" spans="1:34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5"/>
      <c r="AG123" s="64"/>
      <c r="AH123" s="64"/>
    </row>
    <row r="124" spans="1:34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5"/>
      <c r="AG124" s="64"/>
      <c r="AH124" s="64"/>
    </row>
    <row r="125" spans="1:34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5"/>
      <c r="AG125" s="64"/>
      <c r="AH125" s="64"/>
    </row>
    <row r="126" spans="1:34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5"/>
      <c r="AG126" s="64"/>
      <c r="AH126" s="64"/>
    </row>
    <row r="127" spans="1:34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5"/>
      <c r="AG127" s="64"/>
      <c r="AH127" s="64"/>
    </row>
    <row r="128" spans="1:34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5"/>
      <c r="AG128" s="64"/>
      <c r="AH128" s="64"/>
    </row>
    <row r="129" spans="1:34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5"/>
      <c r="AG129" s="64"/>
      <c r="AH129" s="64"/>
    </row>
    <row r="130" spans="1:34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5"/>
      <c r="AG130" s="64"/>
      <c r="AH130" s="64"/>
    </row>
    <row r="131" spans="1:34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5"/>
      <c r="AG131" s="64"/>
      <c r="AH131" s="64"/>
    </row>
    <row r="132" spans="1:34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5"/>
      <c r="AG132" s="64"/>
      <c r="AH132" s="64"/>
    </row>
    <row r="133" spans="1:34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5"/>
      <c r="AG133" s="64"/>
      <c r="AH133" s="64"/>
    </row>
    <row r="134" spans="1:34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5"/>
      <c r="AG134" s="64"/>
      <c r="AH134" s="64"/>
    </row>
    <row r="135" spans="1:34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5"/>
      <c r="AG135" s="64"/>
      <c r="AH135" s="64"/>
    </row>
    <row r="136" spans="1:34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5"/>
      <c r="AG136" s="64"/>
      <c r="AH136" s="64"/>
    </row>
    <row r="137" spans="1:34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5"/>
      <c r="AG137" s="64"/>
      <c r="AH137" s="64"/>
    </row>
    <row r="138" spans="1:34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5"/>
      <c r="AG138" s="64"/>
      <c r="AH138" s="64"/>
    </row>
    <row r="139" spans="1:34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5"/>
      <c r="AG139" s="64"/>
      <c r="AH139" s="64"/>
    </row>
    <row r="140" spans="1:34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5"/>
      <c r="AG140" s="64"/>
      <c r="AH140" s="64"/>
    </row>
    <row r="141" spans="1:34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5"/>
      <c r="AG141" s="64"/>
      <c r="AH141" s="64"/>
    </row>
    <row r="142" spans="1:34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5"/>
      <c r="AG142" s="64"/>
      <c r="AH142" s="64"/>
    </row>
    <row r="143" spans="1:34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5"/>
      <c r="AG143" s="64"/>
      <c r="AH143" s="64"/>
    </row>
    <row r="144" spans="1:34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5"/>
      <c r="AG144" s="64"/>
      <c r="AH144" s="64"/>
    </row>
    <row r="145" spans="1:34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5"/>
      <c r="AG145" s="64"/>
      <c r="AH145" s="64"/>
    </row>
    <row r="146" spans="1:34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5"/>
      <c r="AG146" s="64"/>
      <c r="AH146" s="64"/>
    </row>
    <row r="147" spans="1:34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5"/>
      <c r="AG147" s="64"/>
      <c r="AH147" s="64"/>
    </row>
    <row r="148" spans="1:34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5"/>
      <c r="AG148" s="64"/>
      <c r="AH148" s="64"/>
    </row>
    <row r="149" spans="1:34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5"/>
      <c r="AG149" s="64"/>
      <c r="AH149" s="64"/>
    </row>
    <row r="150" spans="1:34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5"/>
      <c r="AG150" s="64"/>
      <c r="AH150" s="64"/>
    </row>
    <row r="151" spans="1:34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5"/>
      <c r="AG151" s="64"/>
      <c r="AH151" s="64"/>
    </row>
    <row r="152" spans="1:34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5"/>
      <c r="AG152" s="64"/>
      <c r="AH152" s="64"/>
    </row>
    <row r="153" spans="1:34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5"/>
      <c r="AG153" s="64"/>
      <c r="AH153" s="64"/>
    </row>
    <row r="154" spans="1:34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5"/>
      <c r="AG154" s="64"/>
      <c r="AH154" s="64"/>
    </row>
    <row r="155" spans="1:34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5"/>
      <c r="AG155" s="64"/>
      <c r="AH155" s="64"/>
    </row>
    <row r="156" spans="1:34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5"/>
      <c r="AG156" s="64"/>
      <c r="AH156" s="64"/>
    </row>
    <row r="157" spans="1:34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5"/>
      <c r="AG157" s="64"/>
      <c r="AH157" s="64"/>
    </row>
    <row r="158" spans="1:34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5"/>
      <c r="AG158" s="64"/>
      <c r="AH158" s="64"/>
    </row>
    <row r="159" spans="1:34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5"/>
      <c r="AG159" s="64"/>
      <c r="AH159" s="64"/>
    </row>
    <row r="160" spans="1:34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5"/>
      <c r="AG160" s="64"/>
      <c r="AH160" s="64"/>
    </row>
    <row r="161" spans="1:34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5"/>
      <c r="AG161" s="64"/>
      <c r="AH161" s="64"/>
    </row>
    <row r="162" spans="1:34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5"/>
      <c r="AG162" s="64"/>
      <c r="AH162" s="64"/>
    </row>
    <row r="163" spans="1:34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5"/>
      <c r="AG163" s="64"/>
      <c r="AH163" s="64"/>
    </row>
    <row r="164" spans="1:34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5"/>
      <c r="AG164" s="64"/>
      <c r="AH164" s="64"/>
    </row>
    <row r="165" spans="1:34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5"/>
      <c r="AG165" s="64"/>
      <c r="AH165" s="64"/>
    </row>
    <row r="166" spans="1:34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5"/>
      <c r="AG166" s="64"/>
      <c r="AH166" s="64"/>
    </row>
    <row r="167" spans="1:34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5"/>
      <c r="AG167" s="64"/>
      <c r="AH167" s="64"/>
    </row>
    <row r="168" spans="1:34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5"/>
      <c r="AG168" s="64"/>
      <c r="AH168" s="64"/>
    </row>
    <row r="169" spans="1:34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5"/>
      <c r="AG169" s="64"/>
      <c r="AH169" s="64"/>
    </row>
    <row r="170" spans="1:34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5"/>
      <c r="AG170" s="64"/>
      <c r="AH170" s="64"/>
    </row>
    <row r="171" spans="1:34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5"/>
      <c r="AG171" s="64"/>
      <c r="AH171" s="64"/>
    </row>
    <row r="172" spans="1:34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5"/>
      <c r="AG172" s="64"/>
      <c r="AH172" s="64"/>
    </row>
    <row r="173" spans="1:34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5"/>
      <c r="AG173" s="64"/>
      <c r="AH173" s="64"/>
    </row>
    <row r="174" spans="1:34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5"/>
      <c r="AG174" s="64"/>
      <c r="AH174" s="64"/>
    </row>
    <row r="175" spans="1:34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5"/>
      <c r="AG175" s="64"/>
      <c r="AH175" s="64"/>
    </row>
    <row r="176" spans="1:34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5"/>
      <c r="AG176" s="64"/>
      <c r="AH176" s="64"/>
    </row>
    <row r="177" spans="1:34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5"/>
      <c r="AG177" s="64"/>
      <c r="AH177" s="64"/>
    </row>
    <row r="178" spans="1:34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5"/>
      <c r="AG178" s="64"/>
      <c r="AH178" s="64"/>
    </row>
    <row r="179" spans="1:34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5"/>
      <c r="AG179" s="64"/>
      <c r="AH179" s="64"/>
    </row>
    <row r="180" spans="1:34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5"/>
      <c r="AG180" s="64"/>
      <c r="AH180" s="64"/>
    </row>
    <row r="181" spans="1:34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5"/>
      <c r="AG181" s="64"/>
      <c r="AH181" s="64"/>
    </row>
    <row r="182" spans="1:34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5"/>
      <c r="AG182" s="64"/>
      <c r="AH182" s="64"/>
    </row>
    <row r="183" spans="1:34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5"/>
      <c r="AG183" s="64"/>
      <c r="AH183" s="64"/>
    </row>
    <row r="184" spans="1:34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5"/>
      <c r="AG184" s="64"/>
      <c r="AH184" s="64"/>
    </row>
    <row r="185" spans="1:34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5"/>
      <c r="AG185" s="64"/>
      <c r="AH185" s="64"/>
    </row>
    <row r="186" spans="1:34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5"/>
      <c r="AG186" s="64"/>
      <c r="AH186" s="64"/>
    </row>
    <row r="187" spans="1:34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5"/>
      <c r="AG187" s="64"/>
      <c r="AH187" s="64"/>
    </row>
    <row r="188" spans="1:34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5"/>
      <c r="AG188" s="64"/>
      <c r="AH188" s="64"/>
    </row>
    <row r="189" spans="1:34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5"/>
      <c r="AG189" s="64"/>
      <c r="AH189" s="64"/>
    </row>
    <row r="190" spans="1:34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5"/>
      <c r="AG190" s="64"/>
      <c r="AH190" s="64"/>
    </row>
    <row r="191" spans="1:34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5"/>
      <c r="AG191" s="64"/>
      <c r="AH191" s="64"/>
    </row>
    <row r="192" spans="1:34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5"/>
      <c r="AG192" s="64"/>
      <c r="AH192" s="64"/>
    </row>
    <row r="193" spans="1:34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5"/>
      <c r="AG193" s="64"/>
      <c r="AH193" s="64"/>
    </row>
    <row r="194" spans="1:34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5"/>
      <c r="AG194" s="64"/>
      <c r="AH194" s="64"/>
    </row>
    <row r="195" spans="1:34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5"/>
      <c r="AG195" s="64"/>
      <c r="AH195" s="64"/>
    </row>
    <row r="196" spans="1:34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5"/>
      <c r="AG196" s="64"/>
      <c r="AH196" s="64"/>
    </row>
    <row r="197" spans="1:34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5"/>
      <c r="AG197" s="64"/>
      <c r="AH197" s="64"/>
    </row>
    <row r="198" spans="1:34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5"/>
      <c r="AG198" s="64"/>
      <c r="AH198" s="64"/>
    </row>
    <row r="199" spans="1:34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5"/>
      <c r="AG199" s="64"/>
      <c r="AH199" s="64"/>
    </row>
    <row r="200" spans="1:34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5"/>
      <c r="AG200" s="64"/>
      <c r="AH200" s="64"/>
    </row>
    <row r="201" spans="1:34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5"/>
      <c r="AG201" s="64"/>
      <c r="AH201" s="64"/>
    </row>
    <row r="202" spans="1:34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5"/>
      <c r="AG202" s="64"/>
      <c r="AH202" s="64"/>
    </row>
    <row r="203" spans="1:34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5"/>
      <c r="AG203" s="64"/>
      <c r="AH203" s="64"/>
    </row>
  </sheetData>
  <mergeCells count="2">
    <mergeCell ref="A1:AH1"/>
    <mergeCell ref="A2:AH2"/>
  </mergeCells>
  <phoneticPr fontId="49" type="noConversion"/>
  <dataValidations count="4">
    <dataValidation type="list" sqref="AG4:AG203" xr:uid="{00000000-0002-0000-1300-000000000000}">
      <formula1>"草稿,待审核,通过,驳回,争议"</formula1>
    </dataValidation>
    <dataValidation type="list" sqref="AE4:AE203" xr:uid="{00000000-0002-0000-1300-000001000000}">
      <formula1>"史料直述,考古测量,地图测量,现代研究,计算结果,推导结论"</formula1>
    </dataValidation>
    <dataValidation type="list" sqref="E4:E203" xr:uid="{00000000-0002-0000-1300-000002000000}">
      <formula1>"Building,Market"</formula1>
    </dataValidation>
    <dataValidation type="decimal" sqref="AF4:AF203" xr:uid="{00000000-0002-0000-1300-000003000000}">
      <formula1>0</formula1>
      <formula2>1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03"/>
  <sheetViews>
    <sheetView showGridLines="0" workbookViewId="0"/>
  </sheetViews>
  <sheetFormatPr defaultRowHeight="13.8"/>
  <cols>
    <col min="1" max="1" width="18" customWidth="1"/>
    <col min="2" max="2" width="26" customWidth="1"/>
    <col min="3" max="3" width="32" customWidth="1"/>
    <col min="4" max="4" width="36" customWidth="1"/>
    <col min="5" max="5" width="55" customWidth="1"/>
    <col min="6" max="7" width="18" customWidth="1"/>
    <col min="8" max="8" width="14" customWidth="1"/>
    <col min="9" max="10" width="20" customWidth="1"/>
    <col min="11" max="11" width="36" customWidth="1"/>
    <col min="12" max="12" width="12" customWidth="1"/>
    <col min="13" max="15" width="18" customWidth="1"/>
    <col min="16" max="16" width="16" customWidth="1"/>
    <col min="17" max="18" width="14" customWidth="1"/>
    <col min="19" max="19" width="32" customWidth="1"/>
  </cols>
  <sheetData>
    <row r="1" spans="1:19" ht="30" customHeight="1">
      <c r="A1" s="121" t="s">
        <v>1467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19" ht="36" customHeight="1">
      <c r="A2" s="122" t="s">
        <v>1468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ht="42" customHeight="1">
      <c r="A3" s="63" t="s">
        <v>1469</v>
      </c>
      <c r="B3" s="63" t="s">
        <v>118</v>
      </c>
      <c r="C3" s="63" t="s">
        <v>1470</v>
      </c>
      <c r="D3" s="63" t="s">
        <v>1471</v>
      </c>
      <c r="E3" s="63" t="s">
        <v>1472</v>
      </c>
      <c r="F3" s="63" t="s">
        <v>1473</v>
      </c>
      <c r="G3" s="63" t="s">
        <v>1474</v>
      </c>
      <c r="H3" s="63" t="s">
        <v>1475</v>
      </c>
      <c r="I3" s="63" t="s">
        <v>1476</v>
      </c>
      <c r="J3" s="63" t="s">
        <v>1477</v>
      </c>
      <c r="K3" s="63" t="s">
        <v>1478</v>
      </c>
      <c r="L3" s="63" t="s">
        <v>1479</v>
      </c>
      <c r="M3" s="63" t="s">
        <v>1480</v>
      </c>
      <c r="N3" s="63" t="s">
        <v>1481</v>
      </c>
      <c r="O3" s="63" t="s">
        <v>1482</v>
      </c>
      <c r="P3" s="63" t="s">
        <v>1483</v>
      </c>
      <c r="Q3" s="63" t="s">
        <v>1484</v>
      </c>
      <c r="R3" s="63" t="s">
        <v>1485</v>
      </c>
      <c r="S3" s="63" t="s">
        <v>194</v>
      </c>
    </row>
    <row r="4" spans="1:19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6"/>
      <c r="R4" s="66"/>
      <c r="S4" s="64"/>
    </row>
    <row r="5" spans="1:19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6"/>
      <c r="R5" s="66"/>
      <c r="S5" s="64"/>
    </row>
    <row r="6" spans="1:19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6"/>
      <c r="R6" s="66"/>
      <c r="S6" s="64"/>
    </row>
    <row r="7" spans="1:19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6"/>
      <c r="R7" s="66"/>
      <c r="S7" s="64"/>
    </row>
    <row r="8" spans="1:19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6"/>
      <c r="R8" s="66"/>
      <c r="S8" s="64"/>
    </row>
    <row r="9" spans="1:19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6"/>
      <c r="R9" s="66"/>
      <c r="S9" s="64"/>
    </row>
    <row r="10" spans="1:19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6"/>
      <c r="R10" s="66"/>
      <c r="S10" s="64"/>
    </row>
    <row r="11" spans="1:19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4"/>
    </row>
    <row r="12" spans="1:19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6"/>
      <c r="R12" s="66"/>
      <c r="S12" s="64"/>
    </row>
    <row r="13" spans="1:19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6"/>
      <c r="R13" s="66"/>
      <c r="S13" s="64"/>
    </row>
    <row r="14" spans="1:19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6"/>
      <c r="R14" s="66"/>
      <c r="S14" s="64"/>
    </row>
    <row r="15" spans="1:19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6"/>
      <c r="R15" s="66"/>
      <c r="S15" s="64"/>
    </row>
    <row r="16" spans="1:19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6"/>
      <c r="R16" s="66"/>
      <c r="S16" s="64"/>
    </row>
    <row r="17" spans="1:19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6"/>
      <c r="R17" s="66"/>
      <c r="S17" s="64"/>
    </row>
    <row r="18" spans="1:19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6"/>
      <c r="R18" s="66"/>
      <c r="S18" s="64"/>
    </row>
    <row r="19" spans="1:19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6"/>
      <c r="R19" s="66"/>
      <c r="S19" s="64"/>
    </row>
    <row r="20" spans="1:19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6"/>
      <c r="R20" s="66"/>
      <c r="S20" s="64"/>
    </row>
    <row r="21" spans="1:19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6"/>
      <c r="R21" s="66"/>
      <c r="S21" s="64"/>
    </row>
    <row r="22" spans="1:19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6"/>
      <c r="R22" s="66"/>
      <c r="S22" s="64"/>
    </row>
    <row r="23" spans="1:19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6"/>
      <c r="R23" s="66"/>
      <c r="S23" s="64"/>
    </row>
    <row r="24" spans="1:19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6"/>
      <c r="R24" s="66"/>
      <c r="S24" s="64"/>
    </row>
    <row r="25" spans="1:19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6"/>
      <c r="R25" s="66"/>
      <c r="S25" s="64"/>
    </row>
    <row r="26" spans="1:19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6"/>
      <c r="R26" s="66"/>
      <c r="S26" s="64"/>
    </row>
    <row r="27" spans="1:19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6"/>
      <c r="R27" s="66"/>
      <c r="S27" s="64"/>
    </row>
    <row r="28" spans="1:19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6"/>
      <c r="R28" s="66"/>
      <c r="S28" s="64"/>
    </row>
    <row r="29" spans="1:19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6"/>
      <c r="R29" s="66"/>
      <c r="S29" s="64"/>
    </row>
    <row r="30" spans="1:19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6"/>
      <c r="R30" s="66"/>
      <c r="S30" s="64"/>
    </row>
    <row r="31" spans="1:19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6"/>
      <c r="R31" s="66"/>
      <c r="S31" s="64"/>
    </row>
    <row r="32" spans="1:19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6"/>
      <c r="R32" s="66"/>
      <c r="S32" s="64"/>
    </row>
    <row r="33" spans="1:19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6"/>
      <c r="R33" s="66"/>
      <c r="S33" s="64"/>
    </row>
    <row r="34" spans="1:19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6"/>
      <c r="R34" s="66"/>
      <c r="S34" s="64"/>
    </row>
    <row r="35" spans="1:19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6"/>
      <c r="R35" s="66"/>
      <c r="S35" s="64"/>
    </row>
    <row r="36" spans="1:19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6"/>
      <c r="R36" s="66"/>
      <c r="S36" s="64"/>
    </row>
    <row r="37" spans="1:19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6"/>
      <c r="R37" s="66"/>
      <c r="S37" s="64"/>
    </row>
    <row r="38" spans="1:19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6"/>
      <c r="R38" s="66"/>
      <c r="S38" s="64"/>
    </row>
    <row r="39" spans="1:19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6"/>
      <c r="R39" s="66"/>
      <c r="S39" s="64"/>
    </row>
    <row r="40" spans="1:19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6"/>
      <c r="R40" s="66"/>
      <c r="S40" s="64"/>
    </row>
    <row r="41" spans="1:19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6"/>
      <c r="R41" s="66"/>
      <c r="S41" s="64"/>
    </row>
    <row r="42" spans="1:19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6"/>
      <c r="R42" s="66"/>
      <c r="S42" s="64"/>
    </row>
    <row r="43" spans="1:19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6"/>
      <c r="R43" s="66"/>
      <c r="S43" s="64"/>
    </row>
    <row r="44" spans="1:19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6"/>
      <c r="R44" s="66"/>
      <c r="S44" s="64"/>
    </row>
    <row r="45" spans="1:19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6"/>
      <c r="R45" s="66"/>
      <c r="S45" s="64"/>
    </row>
    <row r="46" spans="1:19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6"/>
      <c r="R46" s="66"/>
      <c r="S46" s="64"/>
    </row>
    <row r="47" spans="1:19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6"/>
      <c r="R47" s="66"/>
      <c r="S47" s="64"/>
    </row>
    <row r="48" spans="1:19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6"/>
      <c r="R48" s="66"/>
      <c r="S48" s="64"/>
    </row>
    <row r="49" spans="1:19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6"/>
      <c r="R49" s="66"/>
      <c r="S49" s="64"/>
    </row>
    <row r="50" spans="1:19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66"/>
      <c r="S50" s="64"/>
    </row>
    <row r="51" spans="1:19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  <c r="R51" s="66"/>
      <c r="S51" s="64"/>
    </row>
    <row r="52" spans="1:19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6"/>
      <c r="R52" s="66"/>
      <c r="S52" s="64"/>
    </row>
    <row r="53" spans="1:19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6"/>
      <c r="R53" s="66"/>
      <c r="S53" s="64"/>
    </row>
    <row r="54" spans="1:19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6"/>
      <c r="R54" s="66"/>
      <c r="S54" s="64"/>
    </row>
    <row r="55" spans="1:19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6"/>
      <c r="R55" s="66"/>
      <c r="S55" s="64"/>
    </row>
    <row r="56" spans="1:19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6"/>
      <c r="R56" s="66"/>
      <c r="S56" s="64"/>
    </row>
    <row r="57" spans="1:19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6"/>
      <c r="R57" s="66"/>
      <c r="S57" s="64"/>
    </row>
    <row r="58" spans="1:19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6"/>
      <c r="R58" s="66"/>
      <c r="S58" s="64"/>
    </row>
    <row r="59" spans="1:19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6"/>
      <c r="R59" s="66"/>
      <c r="S59" s="64"/>
    </row>
    <row r="60" spans="1:19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6"/>
      <c r="R60" s="66"/>
      <c r="S60" s="64"/>
    </row>
    <row r="61" spans="1:19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6"/>
      <c r="R61" s="66"/>
      <c r="S61" s="64"/>
    </row>
    <row r="62" spans="1:19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6"/>
      <c r="R62" s="66"/>
      <c r="S62" s="64"/>
    </row>
    <row r="63" spans="1:19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6"/>
      <c r="R63" s="66"/>
      <c r="S63" s="64"/>
    </row>
    <row r="64" spans="1:19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6"/>
      <c r="R64" s="66"/>
      <c r="S64" s="64"/>
    </row>
    <row r="65" spans="1:19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6"/>
      <c r="R65" s="66"/>
      <c r="S65" s="64"/>
    </row>
    <row r="66" spans="1:19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6"/>
      <c r="R66" s="66"/>
      <c r="S66" s="64"/>
    </row>
    <row r="67" spans="1:19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6"/>
      <c r="R67" s="66"/>
      <c r="S67" s="64"/>
    </row>
    <row r="68" spans="1:19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6"/>
      <c r="R68" s="66"/>
      <c r="S68" s="64"/>
    </row>
    <row r="69" spans="1:19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6"/>
      <c r="R69" s="66"/>
      <c r="S69" s="64"/>
    </row>
    <row r="70" spans="1:19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6"/>
      <c r="R70" s="66"/>
      <c r="S70" s="64"/>
    </row>
    <row r="71" spans="1:19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6"/>
      <c r="R71" s="66"/>
      <c r="S71" s="64"/>
    </row>
    <row r="72" spans="1:19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6"/>
      <c r="R72" s="66"/>
      <c r="S72" s="64"/>
    </row>
    <row r="73" spans="1:19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6"/>
      <c r="R73" s="66"/>
      <c r="S73" s="64"/>
    </row>
    <row r="74" spans="1:19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6"/>
      <c r="R74" s="66"/>
      <c r="S74" s="64"/>
    </row>
    <row r="75" spans="1:19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6"/>
      <c r="R75" s="66"/>
      <c r="S75" s="64"/>
    </row>
    <row r="76" spans="1:19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6"/>
      <c r="R76" s="66"/>
      <c r="S76" s="64"/>
    </row>
    <row r="77" spans="1:19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6"/>
      <c r="R77" s="66"/>
      <c r="S77" s="64"/>
    </row>
    <row r="78" spans="1:19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6"/>
      <c r="R78" s="66"/>
      <c r="S78" s="64"/>
    </row>
    <row r="79" spans="1:19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6"/>
      <c r="R79" s="66"/>
      <c r="S79" s="64"/>
    </row>
    <row r="80" spans="1:19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6"/>
      <c r="R80" s="66"/>
      <c r="S80" s="64"/>
    </row>
    <row r="81" spans="1:19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6"/>
      <c r="R81" s="66"/>
      <c r="S81" s="64"/>
    </row>
    <row r="82" spans="1:19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6"/>
      <c r="R82" s="66"/>
      <c r="S82" s="64"/>
    </row>
    <row r="83" spans="1:19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6"/>
      <c r="R83" s="66"/>
      <c r="S83" s="64"/>
    </row>
    <row r="84" spans="1:19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6"/>
      <c r="R84" s="66"/>
      <c r="S84" s="64"/>
    </row>
    <row r="85" spans="1:19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6"/>
      <c r="R85" s="66"/>
      <c r="S85" s="64"/>
    </row>
    <row r="86" spans="1:19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6"/>
      <c r="R86" s="66"/>
      <c r="S86" s="64"/>
    </row>
    <row r="87" spans="1:19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6"/>
      <c r="R87" s="66"/>
      <c r="S87" s="64"/>
    </row>
    <row r="88" spans="1:19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6"/>
      <c r="R88" s="66"/>
      <c r="S88" s="64"/>
    </row>
    <row r="89" spans="1:19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6"/>
      <c r="R89" s="66"/>
      <c r="S89" s="64"/>
    </row>
    <row r="90" spans="1:19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6"/>
      <c r="R90" s="66"/>
      <c r="S90" s="64"/>
    </row>
    <row r="91" spans="1:19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6"/>
      <c r="R91" s="66"/>
      <c r="S91" s="64"/>
    </row>
    <row r="92" spans="1:19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6"/>
      <c r="R92" s="66"/>
      <c r="S92" s="64"/>
    </row>
    <row r="93" spans="1:19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6"/>
      <c r="R93" s="66"/>
      <c r="S93" s="64"/>
    </row>
    <row r="94" spans="1:19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6"/>
      <c r="R94" s="66"/>
      <c r="S94" s="64"/>
    </row>
    <row r="95" spans="1:19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6"/>
      <c r="R95" s="66"/>
      <c r="S95" s="64"/>
    </row>
    <row r="96" spans="1:19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6"/>
      <c r="R96" s="66"/>
      <c r="S96" s="64"/>
    </row>
    <row r="97" spans="1:19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6"/>
      <c r="R97" s="66"/>
      <c r="S97" s="64"/>
    </row>
    <row r="98" spans="1:19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6"/>
      <c r="R98" s="66"/>
      <c r="S98" s="64"/>
    </row>
    <row r="99" spans="1:19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6"/>
      <c r="R99" s="66"/>
      <c r="S99" s="64"/>
    </row>
    <row r="100" spans="1:19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6"/>
      <c r="R100" s="66"/>
      <c r="S100" s="64"/>
    </row>
    <row r="101" spans="1:19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6"/>
      <c r="R101" s="66"/>
      <c r="S101" s="64"/>
    </row>
    <row r="102" spans="1:19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6"/>
      <c r="R102" s="66"/>
      <c r="S102" s="64"/>
    </row>
    <row r="103" spans="1:19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6"/>
      <c r="R103" s="66"/>
      <c r="S103" s="64"/>
    </row>
    <row r="104" spans="1:19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6"/>
      <c r="R104" s="66"/>
      <c r="S104" s="64"/>
    </row>
    <row r="105" spans="1:19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6"/>
      <c r="R105" s="66"/>
      <c r="S105" s="64"/>
    </row>
    <row r="106" spans="1:19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6"/>
      <c r="R106" s="66"/>
      <c r="S106" s="64"/>
    </row>
    <row r="107" spans="1:19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6"/>
      <c r="R107" s="66"/>
      <c r="S107" s="64"/>
    </row>
    <row r="108" spans="1:19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6"/>
      <c r="R108" s="66"/>
      <c r="S108" s="64"/>
    </row>
    <row r="109" spans="1:19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6"/>
      <c r="R109" s="66"/>
      <c r="S109" s="64"/>
    </row>
    <row r="110" spans="1:19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6"/>
      <c r="R110" s="66"/>
      <c r="S110" s="64"/>
    </row>
    <row r="111" spans="1:19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6"/>
      <c r="R111" s="66"/>
      <c r="S111" s="64"/>
    </row>
    <row r="112" spans="1:19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6"/>
      <c r="R112" s="66"/>
      <c r="S112" s="64"/>
    </row>
    <row r="113" spans="1:19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6"/>
      <c r="R113" s="66"/>
      <c r="S113" s="64"/>
    </row>
    <row r="114" spans="1:19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6"/>
      <c r="R114" s="66"/>
      <c r="S114" s="64"/>
    </row>
    <row r="115" spans="1:19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6"/>
      <c r="R115" s="66"/>
      <c r="S115" s="64"/>
    </row>
    <row r="116" spans="1:19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6"/>
      <c r="R116" s="66"/>
      <c r="S116" s="64"/>
    </row>
    <row r="117" spans="1:19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6"/>
      <c r="R117" s="66"/>
      <c r="S117" s="64"/>
    </row>
    <row r="118" spans="1:19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6"/>
      <c r="R118" s="66"/>
      <c r="S118" s="64"/>
    </row>
    <row r="119" spans="1:19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6"/>
      <c r="R119" s="66"/>
      <c r="S119" s="64"/>
    </row>
    <row r="120" spans="1:19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6"/>
      <c r="R120" s="66"/>
      <c r="S120" s="64"/>
    </row>
    <row r="121" spans="1:19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6"/>
      <c r="R121" s="66"/>
      <c r="S121" s="64"/>
    </row>
    <row r="122" spans="1:19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6"/>
      <c r="R122" s="66"/>
      <c r="S122" s="64"/>
    </row>
    <row r="123" spans="1:19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6"/>
      <c r="R123" s="66"/>
      <c r="S123" s="64"/>
    </row>
    <row r="124" spans="1:19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6"/>
      <c r="R124" s="66"/>
      <c r="S124" s="64"/>
    </row>
    <row r="125" spans="1:19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6"/>
      <c r="R125" s="66"/>
      <c r="S125" s="64"/>
    </row>
    <row r="126" spans="1:19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6"/>
      <c r="R126" s="66"/>
      <c r="S126" s="64"/>
    </row>
    <row r="127" spans="1:19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6"/>
      <c r="R127" s="66"/>
      <c r="S127" s="64"/>
    </row>
    <row r="128" spans="1:19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6"/>
      <c r="R128" s="66"/>
      <c r="S128" s="64"/>
    </row>
    <row r="129" spans="1:19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6"/>
      <c r="R129" s="66"/>
      <c r="S129" s="64"/>
    </row>
    <row r="130" spans="1:19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6"/>
      <c r="R130" s="66"/>
      <c r="S130" s="64"/>
    </row>
    <row r="131" spans="1:19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6"/>
      <c r="R131" s="66"/>
      <c r="S131" s="64"/>
    </row>
    <row r="132" spans="1:19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6"/>
      <c r="R132" s="66"/>
      <c r="S132" s="64"/>
    </row>
    <row r="133" spans="1:19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6"/>
      <c r="R133" s="66"/>
      <c r="S133" s="64"/>
    </row>
    <row r="134" spans="1:19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6"/>
      <c r="R134" s="66"/>
      <c r="S134" s="64"/>
    </row>
    <row r="135" spans="1:19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6"/>
      <c r="R135" s="66"/>
      <c r="S135" s="64"/>
    </row>
    <row r="136" spans="1:19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6"/>
      <c r="R136" s="66"/>
      <c r="S136" s="64"/>
    </row>
    <row r="137" spans="1:19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6"/>
      <c r="R137" s="66"/>
      <c r="S137" s="64"/>
    </row>
    <row r="138" spans="1:19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6"/>
      <c r="R138" s="66"/>
      <c r="S138" s="64"/>
    </row>
    <row r="139" spans="1:19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6"/>
      <c r="R139" s="66"/>
      <c r="S139" s="64"/>
    </row>
    <row r="140" spans="1:19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6"/>
      <c r="R140" s="66"/>
      <c r="S140" s="64"/>
    </row>
    <row r="141" spans="1:19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6"/>
      <c r="R141" s="66"/>
      <c r="S141" s="64"/>
    </row>
    <row r="142" spans="1:19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6"/>
      <c r="R142" s="66"/>
      <c r="S142" s="64"/>
    </row>
    <row r="143" spans="1:19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6"/>
      <c r="R143" s="66"/>
      <c r="S143" s="64"/>
    </row>
    <row r="144" spans="1:19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6"/>
      <c r="R144" s="66"/>
      <c r="S144" s="64"/>
    </row>
    <row r="145" spans="1:19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6"/>
      <c r="R145" s="66"/>
      <c r="S145" s="64"/>
    </row>
    <row r="146" spans="1:19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6"/>
      <c r="R146" s="66"/>
      <c r="S146" s="64"/>
    </row>
    <row r="147" spans="1:19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6"/>
      <c r="R147" s="66"/>
      <c r="S147" s="64"/>
    </row>
    <row r="148" spans="1:19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6"/>
      <c r="R148" s="66"/>
      <c r="S148" s="64"/>
    </row>
    <row r="149" spans="1:19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6"/>
      <c r="R149" s="66"/>
      <c r="S149" s="64"/>
    </row>
    <row r="150" spans="1:19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6"/>
      <c r="R150" s="66"/>
      <c r="S150" s="64"/>
    </row>
    <row r="151" spans="1:19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6"/>
      <c r="R151" s="66"/>
      <c r="S151" s="64"/>
    </row>
    <row r="152" spans="1:19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6"/>
      <c r="R152" s="66"/>
      <c r="S152" s="64"/>
    </row>
    <row r="153" spans="1:19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6"/>
      <c r="R153" s="66"/>
      <c r="S153" s="64"/>
    </row>
    <row r="154" spans="1:19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6"/>
      <c r="R154" s="66"/>
      <c r="S154" s="64"/>
    </row>
    <row r="155" spans="1:19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6"/>
      <c r="R155" s="66"/>
      <c r="S155" s="64"/>
    </row>
    <row r="156" spans="1:19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6"/>
      <c r="R156" s="66"/>
      <c r="S156" s="64"/>
    </row>
    <row r="157" spans="1:19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6"/>
      <c r="R157" s="66"/>
      <c r="S157" s="64"/>
    </row>
    <row r="158" spans="1:19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6"/>
      <c r="R158" s="66"/>
      <c r="S158" s="64"/>
    </row>
    <row r="159" spans="1:19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6"/>
      <c r="R159" s="66"/>
      <c r="S159" s="64"/>
    </row>
    <row r="160" spans="1:19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6"/>
      <c r="R160" s="66"/>
      <c r="S160" s="64"/>
    </row>
    <row r="161" spans="1:19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6"/>
      <c r="R161" s="66"/>
      <c r="S161" s="64"/>
    </row>
    <row r="162" spans="1:19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6"/>
      <c r="R162" s="66"/>
      <c r="S162" s="64"/>
    </row>
    <row r="163" spans="1:19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6"/>
      <c r="R163" s="66"/>
      <c r="S163" s="64"/>
    </row>
    <row r="164" spans="1:19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6"/>
      <c r="R164" s="66"/>
      <c r="S164" s="64"/>
    </row>
    <row r="165" spans="1:19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6"/>
      <c r="R165" s="66"/>
      <c r="S165" s="64"/>
    </row>
    <row r="166" spans="1:19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6"/>
      <c r="R166" s="66"/>
      <c r="S166" s="64"/>
    </row>
    <row r="167" spans="1:19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6"/>
      <c r="R167" s="66"/>
      <c r="S167" s="64"/>
    </row>
    <row r="168" spans="1:19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6"/>
      <c r="R168" s="66"/>
      <c r="S168" s="64"/>
    </row>
    <row r="169" spans="1:19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6"/>
      <c r="R169" s="66"/>
      <c r="S169" s="64"/>
    </row>
    <row r="170" spans="1:19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6"/>
      <c r="R170" s="66"/>
      <c r="S170" s="64"/>
    </row>
    <row r="171" spans="1:19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6"/>
      <c r="R171" s="66"/>
      <c r="S171" s="64"/>
    </row>
    <row r="172" spans="1:19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6"/>
      <c r="R172" s="66"/>
      <c r="S172" s="64"/>
    </row>
    <row r="173" spans="1:19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6"/>
      <c r="R173" s="66"/>
      <c r="S173" s="64"/>
    </row>
    <row r="174" spans="1:19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6"/>
      <c r="R174" s="66"/>
      <c r="S174" s="64"/>
    </row>
    <row r="175" spans="1:19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6"/>
      <c r="R175" s="66"/>
      <c r="S175" s="64"/>
    </row>
    <row r="176" spans="1:19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6"/>
      <c r="R176" s="66"/>
      <c r="S176" s="64"/>
    </row>
    <row r="177" spans="1:19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6"/>
      <c r="R177" s="66"/>
      <c r="S177" s="64"/>
    </row>
    <row r="178" spans="1:19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6"/>
      <c r="R178" s="66"/>
      <c r="S178" s="64"/>
    </row>
    <row r="179" spans="1:19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6"/>
      <c r="R179" s="66"/>
      <c r="S179" s="64"/>
    </row>
    <row r="180" spans="1:19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6"/>
      <c r="R180" s="66"/>
      <c r="S180" s="64"/>
    </row>
    <row r="181" spans="1:19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6"/>
      <c r="R181" s="66"/>
      <c r="S181" s="64"/>
    </row>
    <row r="182" spans="1:19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6"/>
      <c r="R182" s="66"/>
      <c r="S182" s="64"/>
    </row>
    <row r="183" spans="1:19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6"/>
      <c r="R183" s="66"/>
      <c r="S183" s="64"/>
    </row>
    <row r="184" spans="1:19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6"/>
      <c r="R184" s="66"/>
      <c r="S184" s="64"/>
    </row>
    <row r="185" spans="1:19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6"/>
      <c r="R185" s="66"/>
      <c r="S185" s="64"/>
    </row>
    <row r="186" spans="1:19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6"/>
      <c r="R186" s="66"/>
      <c r="S186" s="64"/>
    </row>
    <row r="187" spans="1:19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6"/>
      <c r="R187" s="66"/>
      <c r="S187" s="64"/>
    </row>
    <row r="188" spans="1:19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6"/>
      <c r="R188" s="66"/>
      <c r="S188" s="64"/>
    </row>
    <row r="189" spans="1:19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6"/>
      <c r="R189" s="66"/>
      <c r="S189" s="64"/>
    </row>
    <row r="190" spans="1:19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6"/>
      <c r="R190" s="66"/>
      <c r="S190" s="64"/>
    </row>
    <row r="191" spans="1:19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6"/>
      <c r="R191" s="66"/>
      <c r="S191" s="64"/>
    </row>
    <row r="192" spans="1:19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6"/>
      <c r="R192" s="66"/>
      <c r="S192" s="64"/>
    </row>
    <row r="193" spans="1:19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6"/>
      <c r="R193" s="66"/>
      <c r="S193" s="64"/>
    </row>
    <row r="194" spans="1:19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6"/>
      <c r="R194" s="66"/>
      <c r="S194" s="64"/>
    </row>
    <row r="195" spans="1:19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6"/>
      <c r="R195" s="66"/>
      <c r="S195" s="64"/>
    </row>
    <row r="196" spans="1:19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6"/>
      <c r="R196" s="66"/>
      <c r="S196" s="64"/>
    </row>
    <row r="197" spans="1:19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6"/>
      <c r="R197" s="66"/>
      <c r="S197" s="64"/>
    </row>
    <row r="198" spans="1:19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6"/>
      <c r="R198" s="66"/>
      <c r="S198" s="64"/>
    </row>
    <row r="199" spans="1:19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6"/>
      <c r="R199" s="66"/>
      <c r="S199" s="64"/>
    </row>
    <row r="200" spans="1:19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6"/>
      <c r="R200" s="66"/>
      <c r="S200" s="64"/>
    </row>
    <row r="201" spans="1:19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6"/>
      <c r="R201" s="66"/>
      <c r="S201" s="64"/>
    </row>
    <row r="202" spans="1:19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6"/>
      <c r="R202" s="66"/>
      <c r="S202" s="64"/>
    </row>
    <row r="203" spans="1:19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6"/>
      <c r="R203" s="66"/>
      <c r="S203" s="64"/>
    </row>
  </sheetData>
  <mergeCells count="2">
    <mergeCell ref="A1:S1"/>
    <mergeCell ref="A2:S2"/>
  </mergeCells>
  <phoneticPr fontId="49" type="noConversion"/>
  <dataValidations count="4">
    <dataValidation type="list" sqref="N4:N203" xr:uid="{00000000-0002-0000-1400-000000000000}">
      <formula1>"草稿,待审核,通过,驳回,争议"</formula1>
    </dataValidation>
    <dataValidation type="list" sqref="O4:O203" xr:uid="{00000000-0002-0000-1400-000001000000}">
      <formula1>"草稿,待审核,通过,驳回"</formula1>
    </dataValidation>
    <dataValidation type="list" sqref="F4:F203" xr:uid="{00000000-0002-0000-1400-000002000000}">
      <formula1>"Q_AND_A,STORY,ARTICLE,MAP_GUIDE,ANIMATION_SCRIPT,INTERACTIVE_TASK"</formula1>
    </dataValidation>
    <dataValidation type="list" sqref="G4:G203" xr:uid="{00000000-0002-0000-1400-000003000000}">
      <formula1>"CHILD,TEEN,GENERAL,EDUCATOR"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03"/>
  <sheetViews>
    <sheetView showGridLines="0" workbookViewId="0"/>
  </sheetViews>
  <sheetFormatPr defaultRowHeight="13.8"/>
  <cols>
    <col min="1" max="2" width="18" customWidth="1"/>
    <col min="3" max="5" width="22" customWidth="1"/>
    <col min="6" max="6" width="18" customWidth="1"/>
    <col min="7" max="7" width="14" customWidth="1"/>
    <col min="8" max="8" width="46" customWidth="1"/>
    <col min="9" max="9" width="14" customWidth="1"/>
    <col min="10" max="10" width="16" customWidth="1"/>
    <col min="11" max="11" width="32" customWidth="1"/>
  </cols>
  <sheetData>
    <row r="1" spans="1:11" ht="30" customHeight="1">
      <c r="A1" s="121" t="s">
        <v>1486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36" customHeight="1">
      <c r="A2" s="122" t="s">
        <v>1487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42" customHeight="1">
      <c r="A3" s="63" t="s">
        <v>1488</v>
      </c>
      <c r="B3" s="63" t="s">
        <v>1469</v>
      </c>
      <c r="C3" s="63" t="s">
        <v>1489</v>
      </c>
      <c r="D3" s="63" t="s">
        <v>1490</v>
      </c>
      <c r="E3" s="63" t="s">
        <v>1491</v>
      </c>
      <c r="F3" s="63" t="s">
        <v>1492</v>
      </c>
      <c r="G3" s="63" t="s">
        <v>1493</v>
      </c>
      <c r="H3" s="63" t="s">
        <v>1494</v>
      </c>
      <c r="I3" s="63" t="s">
        <v>1495</v>
      </c>
      <c r="J3" s="63" t="s">
        <v>129</v>
      </c>
      <c r="K3" s="63" t="s">
        <v>194</v>
      </c>
    </row>
    <row r="4" spans="1:1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1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1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1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5" spans="1:1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1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1:1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1:1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0" spans="1:1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1:1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1:1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1:1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1:1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</row>
    <row r="34" spans="1:1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</row>
    <row r="36" spans="1:1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1:1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1:1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1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6" spans="1:1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</row>
    <row r="48" spans="1:1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1:1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</row>
    <row r="50" spans="1:1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</row>
    <row r="52" spans="1:1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</row>
    <row r="53" spans="1:1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</row>
    <row r="54" spans="1:1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</row>
    <row r="55" spans="1:1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</row>
    <row r="56" spans="1:1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spans="1:1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</row>
    <row r="58" spans="1:1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</row>
    <row r="61" spans="1:1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</row>
    <row r="62" spans="1:1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</row>
    <row r="63" spans="1:1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</row>
    <row r="64" spans="1:1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</row>
    <row r="65" spans="1:1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1:1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1:1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</row>
    <row r="70" spans="1:1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1:1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1:1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1:1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</row>
    <row r="74" spans="1:1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</row>
    <row r="76" spans="1:1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</row>
    <row r="77" spans="1:1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</row>
    <row r="78" spans="1:1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</row>
    <row r="80" spans="1:1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</row>
    <row r="83" spans="1:1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</row>
    <row r="84" spans="1:1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</row>
    <row r="85" spans="1:1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</row>
    <row r="87" spans="1:1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</row>
    <row r="88" spans="1:1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</row>
    <row r="89" spans="1:1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</row>
    <row r="90" spans="1:1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</row>
    <row r="91" spans="1:1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  <row r="95" spans="1:1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</row>
    <row r="96" spans="1:1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</row>
    <row r="97" spans="1:1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</row>
    <row r="98" spans="1:1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</row>
    <row r="103" spans="1:1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</row>
    <row r="104" spans="1:1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</row>
    <row r="105" spans="1:1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</row>
    <row r="106" spans="1:1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</row>
    <row r="107" spans="1:1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</row>
    <row r="108" spans="1:1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</row>
    <row r="109" spans="1:1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</row>
    <row r="110" spans="1:1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</row>
    <row r="112" spans="1:1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</row>
    <row r="113" spans="1:1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</row>
    <row r="114" spans="1:1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</row>
    <row r="115" spans="1:1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</row>
    <row r="117" spans="1:1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</row>
    <row r="119" spans="1:1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</row>
    <row r="120" spans="1:1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</row>
    <row r="121" spans="1:1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</row>
    <row r="122" spans="1:1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</row>
    <row r="124" spans="1:1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1:1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</row>
    <row r="128" spans="1:1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</row>
    <row r="129" spans="1:1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</row>
    <row r="131" spans="1:1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</row>
    <row r="133" spans="1:1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</row>
    <row r="134" spans="1:1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</row>
    <row r="135" spans="1:1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</row>
    <row r="136" spans="1:1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</row>
    <row r="138" spans="1:1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</row>
    <row r="140" spans="1:1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</row>
    <row r="141" spans="1:1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</row>
    <row r="142" spans="1:1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</row>
    <row r="143" spans="1:1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</row>
    <row r="144" spans="1:1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</row>
    <row r="145" spans="1:1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</row>
    <row r="146" spans="1:1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</row>
    <row r="147" spans="1:1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</row>
    <row r="148" spans="1:1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</row>
    <row r="149" spans="1:1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</row>
    <row r="150" spans="1:1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</row>
    <row r="161" spans="1:1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</row>
    <row r="162" spans="1:1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</row>
    <row r="163" spans="1:1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</row>
    <row r="164" spans="1:1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</row>
    <row r="165" spans="1:1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</row>
    <row r="166" spans="1:1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</row>
    <row r="167" spans="1:1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</row>
    <row r="169" spans="1:1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</row>
    <row r="170" spans="1:1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</row>
    <row r="171" spans="1:1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</row>
    <row r="172" spans="1:1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</row>
    <row r="173" spans="1:1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</row>
    <row r="174" spans="1:1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</row>
    <row r="175" spans="1:1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</row>
    <row r="176" spans="1:1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</row>
    <row r="177" spans="1:1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</row>
    <row r="178" spans="1:1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</row>
    <row r="179" spans="1:1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</row>
    <row r="180" spans="1:1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</row>
    <row r="181" spans="1:1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</row>
    <row r="182" spans="1:1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</row>
    <row r="183" spans="1:1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</row>
    <row r="184" spans="1:1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</row>
    <row r="185" spans="1:1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</row>
    <row r="186" spans="1:1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</row>
    <row r="187" spans="1:1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</row>
    <row r="188" spans="1:1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</row>
    <row r="189" spans="1:1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</row>
    <row r="190" spans="1:1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</row>
    <row r="191" spans="1:1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</row>
    <row r="192" spans="1:1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</row>
    <row r="193" spans="1:1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</row>
    <row r="194" spans="1:1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</row>
    <row r="195" spans="1:1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</row>
    <row r="196" spans="1:1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</row>
    <row r="197" spans="1:1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</row>
    <row r="198" spans="1:1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</row>
    <row r="199" spans="1:1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</row>
    <row r="200" spans="1:1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</row>
    <row r="201" spans="1:1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</row>
    <row r="202" spans="1:1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</row>
    <row r="203" spans="1:1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</row>
  </sheetData>
  <mergeCells count="2">
    <mergeCell ref="A1:K1"/>
    <mergeCell ref="A2:K2"/>
  </mergeCells>
  <phoneticPr fontId="49" type="noConversion"/>
  <dataValidations count="5">
    <dataValidation type="list" sqref="J4:J203" xr:uid="{00000000-0002-0000-1500-000000000000}">
      <formula1>"草稿,待审核,通过,驳回,争议"</formula1>
    </dataValidation>
    <dataValidation type="list" sqref="C4:C203" xr:uid="{00000000-0002-0000-1500-000001000000}">
      <formula1>"ENTITY,RELATION,CLAIM,CHUNK,SOURCE,RULE"</formula1>
    </dataValidation>
    <dataValidation type="list" sqref="E4:E203" xr:uid="{00000000-0002-0000-1500-000002000000}">
      <formula1>"CORE_EVIDENCE,BACKGROUND_FACT,RESEARCH_EXPLANATION,COUNTEREXAMPLE,CONTESTED_VIEW"</formula1>
    </dataValidation>
    <dataValidation type="list" sqref="F4:F203" xr:uid="{00000000-0002-0000-1500-000003000000}">
      <formula1>"基础事实,研究解释"</formula1>
    </dataValidation>
    <dataValidation type="list" sqref="I4:I203" xr:uid="{00000000-0002-0000-1500-000004000000}">
      <formula1>"是,否"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2"/>
  <sheetViews>
    <sheetView showGridLines="0" workbookViewId="0"/>
  </sheetViews>
  <sheetFormatPr defaultRowHeight="13.8"/>
  <cols>
    <col min="1" max="1" width="18" customWidth="1"/>
    <col min="2" max="2" width="10" customWidth="1"/>
    <col min="3" max="3" width="22" customWidth="1"/>
    <col min="4" max="4" width="10" customWidth="1"/>
    <col min="5" max="5" width="12" customWidth="1"/>
    <col min="6" max="6" width="24" customWidth="1"/>
    <col min="7" max="7" width="20" customWidth="1"/>
    <col min="8" max="10" width="38" customWidth="1"/>
    <col min="11" max="11" width="32" customWidth="1"/>
    <col min="12" max="13" width="18" customWidth="1"/>
    <col min="14" max="14" width="14" customWidth="1"/>
    <col min="15" max="15" width="32" customWidth="1"/>
  </cols>
  <sheetData>
    <row r="1" spans="1:15" ht="28.05" customHeight="1">
      <c r="A1" s="123" t="s">
        <v>1805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ht="37.950000000000003" customHeight="1">
      <c r="A2" s="124" t="s">
        <v>1734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3" spans="1:15" ht="31.95" customHeight="1">
      <c r="A3" s="71" t="s">
        <v>1496</v>
      </c>
      <c r="B3" s="71" t="s">
        <v>1497</v>
      </c>
      <c r="C3" s="71" t="s">
        <v>1498</v>
      </c>
      <c r="D3" s="71" t="s">
        <v>1499</v>
      </c>
      <c r="E3" s="71" t="s">
        <v>1500</v>
      </c>
      <c r="F3" s="71" t="s">
        <v>1501</v>
      </c>
      <c r="G3" s="71" t="s">
        <v>1502</v>
      </c>
      <c r="H3" s="71" t="s">
        <v>1503</v>
      </c>
      <c r="I3" s="71" t="s">
        <v>1504</v>
      </c>
      <c r="J3" s="71" t="s">
        <v>1505</v>
      </c>
      <c r="K3" s="71" t="s">
        <v>191</v>
      </c>
      <c r="L3" s="71" t="s">
        <v>117</v>
      </c>
      <c r="M3" s="71" t="s">
        <v>585</v>
      </c>
      <c r="N3" s="71" t="s">
        <v>129</v>
      </c>
      <c r="O3" s="71" t="s">
        <v>194</v>
      </c>
    </row>
    <row r="4" spans="1:15" ht="54" customHeight="1">
      <c r="A4" s="79" t="s">
        <v>1506</v>
      </c>
      <c r="B4" s="82">
        <v>582</v>
      </c>
      <c r="C4" s="76" t="s">
        <v>1507</v>
      </c>
      <c r="D4" s="76" t="s">
        <v>1508</v>
      </c>
      <c r="E4" s="76" t="s">
        <v>1509</v>
      </c>
      <c r="F4" s="76" t="s">
        <v>1510</v>
      </c>
      <c r="G4" s="76" t="s">
        <v>1420</v>
      </c>
      <c r="H4" s="76" t="s">
        <v>1511</v>
      </c>
      <c r="I4" s="76" t="s">
        <v>1512</v>
      </c>
      <c r="J4" s="76" t="s">
        <v>1513</v>
      </c>
      <c r="K4" s="76" t="s">
        <v>200</v>
      </c>
      <c r="L4" s="76" t="s">
        <v>167</v>
      </c>
      <c r="M4" s="76" t="s">
        <v>1514</v>
      </c>
      <c r="N4" s="76" t="s">
        <v>1209</v>
      </c>
      <c r="O4" s="76" t="s">
        <v>1515</v>
      </c>
    </row>
    <row r="5" spans="1:15" ht="54" customHeight="1">
      <c r="A5" s="80" t="s">
        <v>1516</v>
      </c>
      <c r="B5" s="83">
        <v>617</v>
      </c>
      <c r="C5" s="77" t="s">
        <v>1517</v>
      </c>
      <c r="D5" s="77" t="s">
        <v>1518</v>
      </c>
      <c r="E5" s="77" t="s">
        <v>1519</v>
      </c>
      <c r="F5" s="77" t="s">
        <v>1520</v>
      </c>
      <c r="G5" s="77" t="s">
        <v>1420</v>
      </c>
      <c r="H5" s="77" t="s">
        <v>1521</v>
      </c>
      <c r="I5" s="77" t="s">
        <v>1522</v>
      </c>
      <c r="J5" s="77" t="s">
        <v>1523</v>
      </c>
      <c r="K5" s="77" t="s">
        <v>200</v>
      </c>
      <c r="L5" s="77" t="s">
        <v>154</v>
      </c>
      <c r="M5" s="77" t="s">
        <v>1524</v>
      </c>
      <c r="N5" s="77" t="s">
        <v>1209</v>
      </c>
      <c r="O5" s="77" t="s">
        <v>1525</v>
      </c>
    </row>
    <row r="6" spans="1:15" ht="54" customHeight="1">
      <c r="A6" s="80" t="s">
        <v>1526</v>
      </c>
      <c r="B6" s="83">
        <v>626</v>
      </c>
      <c r="C6" s="77" t="s">
        <v>1527</v>
      </c>
      <c r="D6" s="77" t="s">
        <v>1528</v>
      </c>
      <c r="E6" s="77" t="s">
        <v>1529</v>
      </c>
      <c r="F6" s="77" t="s">
        <v>1530</v>
      </c>
      <c r="G6" s="77" t="s">
        <v>1426</v>
      </c>
      <c r="H6" s="77" t="s">
        <v>1531</v>
      </c>
      <c r="I6" s="77" t="s">
        <v>1532</v>
      </c>
      <c r="J6" s="77" t="s">
        <v>1533</v>
      </c>
      <c r="K6" s="77" t="s">
        <v>211</v>
      </c>
      <c r="L6" s="77" t="s">
        <v>154</v>
      </c>
      <c r="M6" s="77" t="s">
        <v>1534</v>
      </c>
      <c r="N6" s="77" t="s">
        <v>1209</v>
      </c>
      <c r="O6" s="77" t="s">
        <v>1535</v>
      </c>
    </row>
    <row r="7" spans="1:15" ht="54" customHeight="1">
      <c r="A7" s="80" t="s">
        <v>1536</v>
      </c>
      <c r="B7" s="83">
        <v>690</v>
      </c>
      <c r="C7" s="77" t="s">
        <v>1537</v>
      </c>
      <c r="D7" s="77" t="s">
        <v>1538</v>
      </c>
      <c r="E7" s="77" t="s">
        <v>1539</v>
      </c>
      <c r="F7" s="77" t="s">
        <v>1540</v>
      </c>
      <c r="G7" s="77" t="s">
        <v>1441</v>
      </c>
      <c r="H7" s="77" t="s">
        <v>1541</v>
      </c>
      <c r="I7" s="77" t="s">
        <v>1542</v>
      </c>
      <c r="J7" s="77" t="s">
        <v>1543</v>
      </c>
      <c r="K7" s="77" t="s">
        <v>207</v>
      </c>
      <c r="L7" s="77" t="s">
        <v>154</v>
      </c>
      <c r="M7" s="77" t="s">
        <v>1544</v>
      </c>
      <c r="N7" s="77" t="s">
        <v>1209</v>
      </c>
      <c r="O7" s="77" t="s">
        <v>1545</v>
      </c>
    </row>
    <row r="8" spans="1:15" ht="54" customHeight="1">
      <c r="A8" s="80" t="s">
        <v>1546</v>
      </c>
      <c r="B8" s="83">
        <v>756</v>
      </c>
      <c r="C8" s="77" t="s">
        <v>1547</v>
      </c>
      <c r="D8" s="77" t="s">
        <v>1528</v>
      </c>
      <c r="E8" s="77" t="s">
        <v>1548</v>
      </c>
      <c r="F8" s="77" t="s">
        <v>1549</v>
      </c>
      <c r="G8" s="77" t="s">
        <v>1429</v>
      </c>
      <c r="H8" s="77" t="s">
        <v>1550</v>
      </c>
      <c r="I8" s="77" t="s">
        <v>1551</v>
      </c>
      <c r="J8" s="77" t="s">
        <v>1552</v>
      </c>
      <c r="K8" s="77" t="s">
        <v>200</v>
      </c>
      <c r="L8" s="77" t="s">
        <v>144</v>
      </c>
      <c r="M8" s="77" t="s">
        <v>1553</v>
      </c>
      <c r="N8" s="77" t="s">
        <v>1209</v>
      </c>
      <c r="O8" s="77" t="s">
        <v>1554</v>
      </c>
    </row>
    <row r="9" spans="1:15" ht="54" customHeight="1">
      <c r="A9" s="80" t="s">
        <v>1555</v>
      </c>
      <c r="B9" s="83">
        <v>763</v>
      </c>
      <c r="C9" s="77" t="s">
        <v>1556</v>
      </c>
      <c r="D9" s="77" t="s">
        <v>1528</v>
      </c>
      <c r="E9" s="77" t="s">
        <v>1557</v>
      </c>
      <c r="F9" s="77" t="s">
        <v>1558</v>
      </c>
      <c r="G9" s="77" t="s">
        <v>1429</v>
      </c>
      <c r="H9" s="77" t="s">
        <v>1559</v>
      </c>
      <c r="I9" s="77" t="s">
        <v>1560</v>
      </c>
      <c r="J9" s="77" t="s">
        <v>1561</v>
      </c>
      <c r="K9" s="77" t="s">
        <v>200</v>
      </c>
      <c r="L9" s="77" t="s">
        <v>154</v>
      </c>
      <c r="M9" s="77" t="s">
        <v>1562</v>
      </c>
      <c r="N9" s="77" t="s">
        <v>1209</v>
      </c>
      <c r="O9" s="77" t="s">
        <v>1563</v>
      </c>
    </row>
    <row r="10" spans="1:15" ht="54" customHeight="1">
      <c r="A10" s="80" t="s">
        <v>1564</v>
      </c>
      <c r="B10" s="83">
        <v>783</v>
      </c>
      <c r="C10" s="77" t="s">
        <v>1565</v>
      </c>
      <c r="D10" s="77" t="s">
        <v>1528</v>
      </c>
      <c r="E10" s="77" t="s">
        <v>1566</v>
      </c>
      <c r="F10" s="77" t="s">
        <v>1567</v>
      </c>
      <c r="G10" s="77" t="s">
        <v>1429</v>
      </c>
      <c r="H10" s="77" t="s">
        <v>1568</v>
      </c>
      <c r="I10" s="77" t="s">
        <v>1569</v>
      </c>
      <c r="J10" s="77" t="s">
        <v>1570</v>
      </c>
      <c r="K10" s="77" t="s">
        <v>200</v>
      </c>
      <c r="L10" s="77" t="s">
        <v>154</v>
      </c>
      <c r="M10" s="77" t="s">
        <v>1571</v>
      </c>
      <c r="N10" s="77" t="s">
        <v>1209</v>
      </c>
      <c r="O10" s="77" t="s">
        <v>1572</v>
      </c>
    </row>
    <row r="11" spans="1:15" ht="54" customHeight="1">
      <c r="A11" s="80" t="s">
        <v>1573</v>
      </c>
      <c r="B11" s="83">
        <v>881</v>
      </c>
      <c r="C11" s="77" t="s">
        <v>1574</v>
      </c>
      <c r="D11" s="77" t="s">
        <v>1575</v>
      </c>
      <c r="E11" s="77" t="s">
        <v>1576</v>
      </c>
      <c r="F11" s="77" t="s">
        <v>1577</v>
      </c>
      <c r="G11" s="77" t="s">
        <v>1429</v>
      </c>
      <c r="H11" s="77" t="s">
        <v>1578</v>
      </c>
      <c r="I11" s="77" t="s">
        <v>1579</v>
      </c>
      <c r="J11" s="77" t="s">
        <v>1580</v>
      </c>
      <c r="K11" s="77" t="s">
        <v>234</v>
      </c>
      <c r="L11" s="77" t="s">
        <v>154</v>
      </c>
      <c r="M11" s="77" t="s">
        <v>1581</v>
      </c>
      <c r="N11" s="77" t="s">
        <v>1209</v>
      </c>
      <c r="O11" s="77" t="s">
        <v>1582</v>
      </c>
    </row>
    <row r="12" spans="1:15" ht="54" customHeight="1">
      <c r="A12" s="80" t="s">
        <v>1583</v>
      </c>
      <c r="B12" s="83">
        <v>904</v>
      </c>
      <c r="C12" s="77" t="s">
        <v>1584</v>
      </c>
      <c r="D12" s="77" t="s">
        <v>1528</v>
      </c>
      <c r="E12" s="77" t="s">
        <v>1585</v>
      </c>
      <c r="F12" s="77" t="s">
        <v>1586</v>
      </c>
      <c r="G12" s="77" t="s">
        <v>1441</v>
      </c>
      <c r="H12" s="77" t="s">
        <v>1587</v>
      </c>
      <c r="I12" s="77" t="s">
        <v>1588</v>
      </c>
      <c r="J12" s="77" t="s">
        <v>1589</v>
      </c>
      <c r="K12" s="77" t="s">
        <v>200</v>
      </c>
      <c r="L12" s="77" t="s">
        <v>154</v>
      </c>
      <c r="M12" s="77" t="s">
        <v>1590</v>
      </c>
      <c r="N12" s="77" t="s">
        <v>1209</v>
      </c>
      <c r="O12" s="77" t="s">
        <v>1591</v>
      </c>
    </row>
    <row r="13" spans="1:15" ht="54" customHeight="1">
      <c r="A13" s="81" t="s">
        <v>1592</v>
      </c>
      <c r="B13" s="84">
        <v>907</v>
      </c>
      <c r="C13" s="78" t="s">
        <v>1593</v>
      </c>
      <c r="D13" s="78" t="s">
        <v>1594</v>
      </c>
      <c r="E13" s="78" t="s">
        <v>1595</v>
      </c>
      <c r="F13" s="78" t="s">
        <v>1596</v>
      </c>
      <c r="G13" s="78" t="s">
        <v>1426</v>
      </c>
      <c r="H13" s="78" t="s">
        <v>1597</v>
      </c>
      <c r="I13" s="78" t="s">
        <v>1598</v>
      </c>
      <c r="J13" s="78" t="s">
        <v>1599</v>
      </c>
      <c r="K13" s="78" t="s">
        <v>207</v>
      </c>
      <c r="L13" s="78" t="s">
        <v>154</v>
      </c>
      <c r="M13" s="78" t="s">
        <v>1600</v>
      </c>
      <c r="N13" s="78" t="s">
        <v>1209</v>
      </c>
      <c r="O13" s="78" t="s">
        <v>1601</v>
      </c>
    </row>
    <row r="14" spans="1:15" ht="54" customHeight="1">
      <c r="A14" s="79" t="s">
        <v>1602</v>
      </c>
      <c r="B14" s="82">
        <v>648</v>
      </c>
      <c r="C14" s="76" t="s">
        <v>1603</v>
      </c>
      <c r="D14" s="76" t="s">
        <v>1528</v>
      </c>
      <c r="E14" s="76" t="s">
        <v>1604</v>
      </c>
      <c r="F14" s="76" t="s">
        <v>1605</v>
      </c>
      <c r="G14" s="76" t="s">
        <v>1423</v>
      </c>
      <c r="H14" s="76" t="s">
        <v>1606</v>
      </c>
      <c r="I14" s="76" t="s">
        <v>1607</v>
      </c>
      <c r="J14" s="76" t="s">
        <v>1608</v>
      </c>
      <c r="K14" s="76" t="s">
        <v>397</v>
      </c>
      <c r="L14" s="76" t="s">
        <v>154</v>
      </c>
      <c r="M14" s="76" t="s">
        <v>1609</v>
      </c>
      <c r="N14" s="76" t="s">
        <v>1209</v>
      </c>
      <c r="O14" s="76" t="s">
        <v>1610</v>
      </c>
    </row>
    <row r="15" spans="1:15" ht="54" customHeight="1">
      <c r="A15" s="79" t="s">
        <v>1611</v>
      </c>
      <c r="B15" s="82">
        <v>662</v>
      </c>
      <c r="C15" s="76" t="s">
        <v>1612</v>
      </c>
      <c r="D15" s="76" t="s">
        <v>1528</v>
      </c>
      <c r="E15" s="76" t="s">
        <v>1613</v>
      </c>
      <c r="F15" s="76" t="s">
        <v>1614</v>
      </c>
      <c r="G15" s="76" t="s">
        <v>1423</v>
      </c>
      <c r="H15" s="76" t="s">
        <v>1615</v>
      </c>
      <c r="I15" s="76" t="s">
        <v>1616</v>
      </c>
      <c r="J15" s="76" t="s">
        <v>1617</v>
      </c>
      <c r="K15" s="76" t="s">
        <v>407</v>
      </c>
      <c r="L15" s="76" t="s">
        <v>154</v>
      </c>
      <c r="M15" s="76" t="s">
        <v>1618</v>
      </c>
      <c r="N15" s="76" t="s">
        <v>1209</v>
      </c>
      <c r="O15" s="76" t="s">
        <v>1619</v>
      </c>
    </row>
    <row r="16" spans="1:15" ht="54" customHeight="1">
      <c r="A16" s="79" t="s">
        <v>1620</v>
      </c>
      <c r="B16" s="82">
        <v>714</v>
      </c>
      <c r="C16" s="76" t="s">
        <v>1621</v>
      </c>
      <c r="D16" s="76" t="s">
        <v>1528</v>
      </c>
      <c r="E16" s="76" t="s">
        <v>1622</v>
      </c>
      <c r="F16" s="76" t="s">
        <v>1623</v>
      </c>
      <c r="G16" s="76" t="s">
        <v>1423</v>
      </c>
      <c r="H16" s="76" t="s">
        <v>1624</v>
      </c>
      <c r="I16" s="76" t="s">
        <v>1625</v>
      </c>
      <c r="J16" s="76" t="s">
        <v>1626</v>
      </c>
      <c r="K16" s="76" t="s">
        <v>426</v>
      </c>
      <c r="L16" s="76" t="s">
        <v>154</v>
      </c>
      <c r="M16" s="76" t="s">
        <v>1627</v>
      </c>
      <c r="N16" s="76" t="s">
        <v>1209</v>
      </c>
      <c r="O16" s="76" t="s">
        <v>1628</v>
      </c>
    </row>
    <row r="17" spans="1:15" ht="54" customHeight="1">
      <c r="A17" s="79" t="s">
        <v>1629</v>
      </c>
      <c r="B17" s="82">
        <v>845</v>
      </c>
      <c r="C17" s="76" t="s">
        <v>1630</v>
      </c>
      <c r="D17" s="76" t="s">
        <v>1528</v>
      </c>
      <c r="E17" s="76" t="s">
        <v>1631</v>
      </c>
      <c r="F17" s="76" t="s">
        <v>1632</v>
      </c>
      <c r="G17" s="76" t="s">
        <v>1438</v>
      </c>
      <c r="H17" s="76" t="s">
        <v>1633</v>
      </c>
      <c r="I17" s="76" t="s">
        <v>1634</v>
      </c>
      <c r="J17" s="76" t="s">
        <v>1635</v>
      </c>
      <c r="K17" s="76" t="s">
        <v>397</v>
      </c>
      <c r="L17" s="76" t="s">
        <v>144</v>
      </c>
      <c r="M17" s="76" t="s">
        <v>1636</v>
      </c>
      <c r="N17" s="76" t="s">
        <v>1209</v>
      </c>
      <c r="O17" s="76" t="s">
        <v>1637</v>
      </c>
    </row>
    <row r="18" spans="1:15" ht="54" customHeight="1">
      <c r="A18" s="79" t="s">
        <v>1638</v>
      </c>
      <c r="B18" s="82">
        <v>584</v>
      </c>
      <c r="C18" s="76" t="s">
        <v>1639</v>
      </c>
      <c r="D18" s="76" t="s">
        <v>1508</v>
      </c>
      <c r="E18" s="76" t="s">
        <v>1509</v>
      </c>
      <c r="F18" s="76" t="s">
        <v>1640</v>
      </c>
      <c r="G18" s="76" t="s">
        <v>1435</v>
      </c>
      <c r="H18" s="76" t="s">
        <v>1641</v>
      </c>
      <c r="I18" s="76" t="s">
        <v>1642</v>
      </c>
      <c r="J18" s="76" t="s">
        <v>1643</v>
      </c>
      <c r="K18" s="76" t="s">
        <v>200</v>
      </c>
      <c r="L18" s="76" t="s">
        <v>144</v>
      </c>
      <c r="M18" s="76" t="s">
        <v>440</v>
      </c>
      <c r="N18" s="76" t="s">
        <v>1209</v>
      </c>
      <c r="O18" s="76" t="s">
        <v>1644</v>
      </c>
    </row>
    <row r="19" spans="1:15" ht="54" customHeight="1">
      <c r="A19" s="79" t="s">
        <v>1645</v>
      </c>
      <c r="B19" s="82">
        <v>705</v>
      </c>
      <c r="C19" s="76" t="s">
        <v>1646</v>
      </c>
      <c r="D19" s="76" t="s">
        <v>1528</v>
      </c>
      <c r="E19" s="76" t="s">
        <v>1647</v>
      </c>
      <c r="F19" s="76" t="s">
        <v>1648</v>
      </c>
      <c r="G19" s="76" t="s">
        <v>1441</v>
      </c>
      <c r="H19" s="76" t="s">
        <v>1649</v>
      </c>
      <c r="I19" s="76" t="s">
        <v>1650</v>
      </c>
      <c r="J19" s="76" t="s">
        <v>1651</v>
      </c>
      <c r="K19" s="76" t="s">
        <v>200</v>
      </c>
      <c r="L19" s="76" t="s">
        <v>154</v>
      </c>
      <c r="M19" s="76" t="s">
        <v>1652</v>
      </c>
      <c r="N19" s="76" t="s">
        <v>1209</v>
      </c>
      <c r="O19" s="76" t="s">
        <v>1653</v>
      </c>
    </row>
    <row r="20" spans="1:15" ht="54" customHeight="1">
      <c r="A20" s="79" t="s">
        <v>1654</v>
      </c>
      <c r="B20" s="82">
        <v>757</v>
      </c>
      <c r="C20" s="76" t="s">
        <v>1655</v>
      </c>
      <c r="D20" s="76" t="s">
        <v>1528</v>
      </c>
      <c r="E20" s="76" t="s">
        <v>1656</v>
      </c>
      <c r="F20" s="76" t="s">
        <v>1657</v>
      </c>
      <c r="G20" s="76" t="s">
        <v>1429</v>
      </c>
      <c r="H20" s="76" t="s">
        <v>1658</v>
      </c>
      <c r="I20" s="76" t="s">
        <v>1659</v>
      </c>
      <c r="J20" s="76" t="s">
        <v>1660</v>
      </c>
      <c r="K20" s="76" t="s">
        <v>467</v>
      </c>
      <c r="L20" s="76" t="s">
        <v>154</v>
      </c>
      <c r="M20" s="76" t="s">
        <v>1661</v>
      </c>
      <c r="N20" s="76" t="s">
        <v>1209</v>
      </c>
      <c r="O20" s="76" t="s">
        <v>1662</v>
      </c>
    </row>
    <row r="21" spans="1:15" ht="54" customHeight="1">
      <c r="A21" s="79" t="s">
        <v>1663</v>
      </c>
      <c r="B21" s="82">
        <v>784</v>
      </c>
      <c r="C21" s="76" t="s">
        <v>1664</v>
      </c>
      <c r="D21" s="76" t="s">
        <v>1528</v>
      </c>
      <c r="E21" s="76" t="s">
        <v>1665</v>
      </c>
      <c r="F21" s="76" t="s">
        <v>1666</v>
      </c>
      <c r="G21" s="76" t="s">
        <v>1429</v>
      </c>
      <c r="H21" s="76" t="s">
        <v>1667</v>
      </c>
      <c r="I21" s="76" t="s">
        <v>1668</v>
      </c>
      <c r="J21" s="76" t="s">
        <v>1669</v>
      </c>
      <c r="K21" s="76" t="s">
        <v>478</v>
      </c>
      <c r="L21" s="76" t="s">
        <v>154</v>
      </c>
      <c r="M21" s="76" t="s">
        <v>1670</v>
      </c>
      <c r="N21" s="76" t="s">
        <v>1209</v>
      </c>
      <c r="O21" s="76" t="s">
        <v>1671</v>
      </c>
    </row>
    <row r="22" spans="1:15" ht="54" customHeight="1">
      <c r="A22" s="79" t="s">
        <v>1672</v>
      </c>
      <c r="B22" s="82">
        <v>835</v>
      </c>
      <c r="C22" s="76" t="s">
        <v>1673</v>
      </c>
      <c r="D22" s="76" t="s">
        <v>1528</v>
      </c>
      <c r="E22" s="76" t="s">
        <v>1674</v>
      </c>
      <c r="F22" s="76" t="s">
        <v>1675</v>
      </c>
      <c r="G22" s="76" t="s">
        <v>1426</v>
      </c>
      <c r="H22" s="76" t="s">
        <v>1676</v>
      </c>
      <c r="I22" s="76" t="s">
        <v>1677</v>
      </c>
      <c r="J22" s="76" t="s">
        <v>1678</v>
      </c>
      <c r="K22" s="76" t="s">
        <v>1679</v>
      </c>
      <c r="L22" s="76" t="s">
        <v>144</v>
      </c>
      <c r="M22" s="76" t="s">
        <v>1680</v>
      </c>
      <c r="N22" s="76" t="s">
        <v>1209</v>
      </c>
      <c r="O22" s="76" t="s">
        <v>1681</v>
      </c>
    </row>
    <row r="23" spans="1:15" ht="54" customHeight="1">
      <c r="A23" s="79" t="s">
        <v>1682</v>
      </c>
      <c r="B23" s="82">
        <v>883</v>
      </c>
      <c r="C23" s="76" t="s">
        <v>1683</v>
      </c>
      <c r="D23" s="76" t="s">
        <v>1575</v>
      </c>
      <c r="E23" s="76" t="s">
        <v>1684</v>
      </c>
      <c r="F23" s="76" t="s">
        <v>1685</v>
      </c>
      <c r="G23" s="76" t="s">
        <v>1429</v>
      </c>
      <c r="H23" s="76" t="s">
        <v>1686</v>
      </c>
      <c r="I23" s="76" t="s">
        <v>1687</v>
      </c>
      <c r="J23" s="76" t="s">
        <v>1688</v>
      </c>
      <c r="K23" s="76" t="s">
        <v>467</v>
      </c>
      <c r="L23" s="76" t="s">
        <v>144</v>
      </c>
      <c r="M23" s="76" t="s">
        <v>1689</v>
      </c>
      <c r="N23" s="76" t="s">
        <v>1209</v>
      </c>
      <c r="O23" s="76" t="s">
        <v>1690</v>
      </c>
    </row>
    <row r="24" spans="1:15" ht="54" customHeight="1">
      <c r="A24" s="79" t="s">
        <v>1691</v>
      </c>
      <c r="B24" s="82">
        <v>733</v>
      </c>
      <c r="C24" s="76" t="s">
        <v>1692</v>
      </c>
      <c r="D24" s="76" t="s">
        <v>1528</v>
      </c>
      <c r="E24" s="76" t="s">
        <v>1622</v>
      </c>
      <c r="F24" s="76" t="s">
        <v>1693</v>
      </c>
      <c r="G24" s="76" t="s">
        <v>1432</v>
      </c>
      <c r="H24" s="76" t="s">
        <v>1694</v>
      </c>
      <c r="I24" s="76" t="s">
        <v>1695</v>
      </c>
      <c r="J24" s="76" t="s">
        <v>1696</v>
      </c>
      <c r="K24" s="76" t="s">
        <v>200</v>
      </c>
      <c r="L24" s="76" t="s">
        <v>144</v>
      </c>
      <c r="M24" s="76" t="s">
        <v>1697</v>
      </c>
      <c r="N24" s="76" t="s">
        <v>1209</v>
      </c>
      <c r="O24" s="76" t="s">
        <v>1698</v>
      </c>
    </row>
    <row r="25" spans="1:15" ht="54" customHeight="1">
      <c r="A25" s="79" t="s">
        <v>1699</v>
      </c>
      <c r="B25" s="82">
        <v>885</v>
      </c>
      <c r="C25" s="76" t="s">
        <v>1700</v>
      </c>
      <c r="D25" s="76" t="s">
        <v>1528</v>
      </c>
      <c r="E25" s="76" t="s">
        <v>1701</v>
      </c>
      <c r="F25" s="76" t="s">
        <v>1702</v>
      </c>
      <c r="G25" s="76" t="s">
        <v>1429</v>
      </c>
      <c r="H25" s="76" t="s">
        <v>1703</v>
      </c>
      <c r="I25" s="76" t="s">
        <v>1704</v>
      </c>
      <c r="J25" s="76" t="s">
        <v>1705</v>
      </c>
      <c r="K25" s="76" t="s">
        <v>528</v>
      </c>
      <c r="L25" s="76" t="s">
        <v>144</v>
      </c>
      <c r="M25" s="76" t="s">
        <v>1706</v>
      </c>
      <c r="N25" s="76" t="s">
        <v>1209</v>
      </c>
      <c r="O25" s="76" t="s">
        <v>1707</v>
      </c>
    </row>
    <row r="26" spans="1:15" ht="54" customHeight="1">
      <c r="A26" s="79" t="s">
        <v>1708</v>
      </c>
      <c r="B26" s="82">
        <v>895</v>
      </c>
      <c r="C26" s="76" t="s">
        <v>1709</v>
      </c>
      <c r="D26" s="76" t="s">
        <v>1528</v>
      </c>
      <c r="E26" s="76" t="s">
        <v>1710</v>
      </c>
      <c r="F26" s="76" t="s">
        <v>1711</v>
      </c>
      <c r="G26" s="76" t="s">
        <v>1429</v>
      </c>
      <c r="H26" s="76" t="s">
        <v>1712</v>
      </c>
      <c r="I26" s="76" t="s">
        <v>1713</v>
      </c>
      <c r="J26" s="76" t="s">
        <v>1714</v>
      </c>
      <c r="K26" s="76" t="s">
        <v>200</v>
      </c>
      <c r="L26" s="76" t="s">
        <v>144</v>
      </c>
      <c r="M26" s="76" t="s">
        <v>1715</v>
      </c>
      <c r="N26" s="76" t="s">
        <v>1209</v>
      </c>
      <c r="O26" s="76" t="s">
        <v>1716</v>
      </c>
    </row>
    <row r="27" spans="1:15" ht="54" customHeight="1">
      <c r="A27" s="79" t="s">
        <v>1717</v>
      </c>
      <c r="B27" s="82">
        <v>896</v>
      </c>
      <c r="C27" s="76" t="s">
        <v>1718</v>
      </c>
      <c r="D27" s="76" t="s">
        <v>1528</v>
      </c>
      <c r="E27" s="76" t="s">
        <v>1710</v>
      </c>
      <c r="F27" s="76" t="s">
        <v>1719</v>
      </c>
      <c r="G27" s="76" t="s">
        <v>1429</v>
      </c>
      <c r="H27" s="76" t="s">
        <v>1720</v>
      </c>
      <c r="I27" s="76" t="s">
        <v>1721</v>
      </c>
      <c r="J27" s="76" t="s">
        <v>1722</v>
      </c>
      <c r="K27" s="76" t="s">
        <v>200</v>
      </c>
      <c r="L27" s="76" t="s">
        <v>144</v>
      </c>
      <c r="M27" s="76" t="s">
        <v>1723</v>
      </c>
      <c r="N27" s="76" t="s">
        <v>1209</v>
      </c>
      <c r="O27" s="76" t="s">
        <v>1724</v>
      </c>
    </row>
    <row r="28" spans="1:15" ht="54" customHeight="1">
      <c r="A28" s="79" t="s">
        <v>1725</v>
      </c>
      <c r="B28" s="82">
        <v>901</v>
      </c>
      <c r="C28" s="76" t="s">
        <v>1726</v>
      </c>
      <c r="D28" s="76" t="s">
        <v>1528</v>
      </c>
      <c r="E28" s="76" t="s">
        <v>1727</v>
      </c>
      <c r="F28" s="76" t="s">
        <v>1728</v>
      </c>
      <c r="G28" s="76" t="s">
        <v>1441</v>
      </c>
      <c r="H28" s="76" t="s">
        <v>1729</v>
      </c>
      <c r="I28" s="76" t="s">
        <v>1730</v>
      </c>
      <c r="J28" s="76" t="s">
        <v>1731</v>
      </c>
      <c r="K28" s="76" t="s">
        <v>200</v>
      </c>
      <c r="L28" s="76" t="s">
        <v>144</v>
      </c>
      <c r="M28" s="76" t="s">
        <v>1732</v>
      </c>
      <c r="N28" s="76" t="s">
        <v>1209</v>
      </c>
      <c r="O28" s="76" t="s">
        <v>1733</v>
      </c>
    </row>
    <row r="29" spans="1:15" ht="54" customHeight="1">
      <c r="A29" s="79" t="s">
        <v>1747</v>
      </c>
      <c r="B29" s="82">
        <v>797</v>
      </c>
      <c r="C29" s="76" t="s">
        <v>1748</v>
      </c>
      <c r="D29" s="76" t="s">
        <v>1528</v>
      </c>
      <c r="E29" s="76" t="s">
        <v>1749</v>
      </c>
      <c r="F29" s="76" t="s">
        <v>1750</v>
      </c>
      <c r="G29" s="76" t="s">
        <v>1423</v>
      </c>
      <c r="H29" s="76" t="s">
        <v>1751</v>
      </c>
      <c r="I29" s="76" t="s">
        <v>1752</v>
      </c>
      <c r="J29" s="76" t="s">
        <v>1753</v>
      </c>
      <c r="K29" s="76" t="s">
        <v>1754</v>
      </c>
      <c r="L29" s="76" t="s">
        <v>154</v>
      </c>
      <c r="M29" s="76" t="s">
        <v>1755</v>
      </c>
      <c r="N29" s="76" t="s">
        <v>180</v>
      </c>
      <c r="O29" s="76" t="s">
        <v>1756</v>
      </c>
    </row>
    <row r="30" spans="1:15" ht="54" customHeight="1">
      <c r="A30" s="79" t="s">
        <v>1771</v>
      </c>
      <c r="B30" s="82">
        <v>583</v>
      </c>
      <c r="C30" s="76" t="s">
        <v>1772</v>
      </c>
      <c r="D30" s="76" t="s">
        <v>1508</v>
      </c>
      <c r="E30" s="76" t="s">
        <v>1509</v>
      </c>
      <c r="F30" s="76" t="s">
        <v>1773</v>
      </c>
      <c r="G30" s="76" t="s">
        <v>1423</v>
      </c>
      <c r="H30" s="76" t="s">
        <v>1774</v>
      </c>
      <c r="I30" s="76" t="s">
        <v>1775</v>
      </c>
      <c r="J30" s="76" t="s">
        <v>1776</v>
      </c>
      <c r="K30" s="76" t="s">
        <v>1777</v>
      </c>
      <c r="L30" s="76" t="s">
        <v>174</v>
      </c>
      <c r="M30" s="76" t="s">
        <v>1778</v>
      </c>
      <c r="N30" s="76" t="s">
        <v>180</v>
      </c>
      <c r="O30" s="76" t="s">
        <v>1779</v>
      </c>
    </row>
    <row r="31" spans="1:15" ht="54" customHeight="1">
      <c r="A31" s="79" t="s">
        <v>1789</v>
      </c>
      <c r="B31" s="82">
        <v>656</v>
      </c>
      <c r="C31" s="76" t="s">
        <v>1790</v>
      </c>
      <c r="D31" s="76" t="s">
        <v>1528</v>
      </c>
      <c r="E31" s="76" t="s">
        <v>1791</v>
      </c>
      <c r="F31" s="76" t="s">
        <v>1792</v>
      </c>
      <c r="G31" s="76" t="s">
        <v>1423</v>
      </c>
      <c r="H31" s="76" t="s">
        <v>1793</v>
      </c>
      <c r="I31" s="76" t="s">
        <v>1794</v>
      </c>
      <c r="J31" s="76" t="s">
        <v>1795</v>
      </c>
      <c r="L31" s="76" t="s">
        <v>174</v>
      </c>
      <c r="M31" s="76" t="s">
        <v>1780</v>
      </c>
      <c r="N31" s="76" t="s">
        <v>180</v>
      </c>
      <c r="O31" s="76" t="s">
        <v>1796</v>
      </c>
    </row>
    <row r="32" spans="1:15" ht="54" customHeight="1">
      <c r="A32" s="79" t="s">
        <v>1797</v>
      </c>
      <c r="B32" s="82">
        <v>763</v>
      </c>
      <c r="C32" s="76" t="s">
        <v>1798</v>
      </c>
      <c r="D32" s="76" t="s">
        <v>1528</v>
      </c>
      <c r="E32" s="76" t="s">
        <v>1557</v>
      </c>
      <c r="F32" s="76" t="s">
        <v>1799</v>
      </c>
      <c r="G32" s="76" t="s">
        <v>1429</v>
      </c>
      <c r="H32" s="76" t="s">
        <v>1800</v>
      </c>
      <c r="I32" s="76" t="s">
        <v>1801</v>
      </c>
      <c r="J32" s="76" t="s">
        <v>1802</v>
      </c>
      <c r="L32" s="76" t="s">
        <v>154</v>
      </c>
      <c r="M32" s="76" t="s">
        <v>1781</v>
      </c>
      <c r="N32" s="76" t="s">
        <v>180</v>
      </c>
      <c r="O32" s="76" t="s">
        <v>1803</v>
      </c>
    </row>
  </sheetData>
  <mergeCells count="2">
    <mergeCell ref="A1:O1"/>
    <mergeCell ref="A2:O2"/>
  </mergeCells>
  <phoneticPr fontId="49" type="noConversion"/>
  <dataValidations count="3">
    <dataValidation type="list" sqref="N4:N13" xr:uid="{00000000-0002-0000-1600-000000000000}">
      <formula1>"待审核,审核通过,需复核,不采用"</formula1>
    </dataValidation>
    <dataValidation type="list" sqref="G4:G1003" xr:uid="{00000000-0002-0000-1600-000001000000}">
      <formula1>"CITY_FOUNDING,URBAN_CONSTRUCTION,POLITICAL_CHANGE,WAR,DISASTER,TRANSPORT,SOCIAL_POLICY,CAPITAL_STATUS"</formula1>
    </dataValidation>
    <dataValidation type="list" sqref="N14:N17" xr:uid="{00000000-0002-0000-1600-000004000000}">
      <formula1>"待审核,通过,争议,退回"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填写说明</vt:lpstr>
      <vt:lpstr>来源表</vt:lpstr>
      <vt:lpstr>史料片段</vt:lpstr>
      <vt:lpstr>实体表</vt:lpstr>
      <vt:lpstr>关系表</vt:lpstr>
      <vt:lpstr>坐标基准</vt:lpstr>
      <vt:lpstr>坊功能表</vt:lpstr>
      <vt:lpstr>坊间空间关系</vt:lpstr>
      <vt:lpstr>坊内平面规则</vt:lpstr>
      <vt:lpstr>道路分级表</vt:lpstr>
      <vt:lpstr>道路轴线</vt:lpstr>
      <vt:lpstr>水渠表</vt:lpstr>
      <vt:lpstr>城门表</vt:lpstr>
      <vt:lpstr>尺度关系表</vt:lpstr>
      <vt:lpstr>功能分区规则</vt:lpstr>
      <vt:lpstr>研究结论表</vt:lpstr>
      <vt:lpstr>转换规则</vt:lpstr>
      <vt:lpstr>代码对照</vt:lpstr>
      <vt:lpstr>地形表</vt:lpstr>
      <vt:lpstr>重要建筑与设施表</vt:lpstr>
      <vt:lpstr>科普内容表</vt:lpstr>
      <vt:lpstr>科普依据关联</vt:lpstr>
      <vt:lpstr>长安城大事记表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2026-08-23T07:13:32Z</dcterms:modified>
</cp:coreProperties>
</file>
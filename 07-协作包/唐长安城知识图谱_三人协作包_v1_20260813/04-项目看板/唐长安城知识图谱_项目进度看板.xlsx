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98e92cc89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日看板" sheetId="1" r:id="R481a87d1183c4fe4"/>
    <x:sheet xmlns:r="http://schemas.openxmlformats.org/officeDocument/2006/relationships" name="工作清单" sheetId="2" r:id="R9d3a5b05b04f4aaa"/>
    <x:sheet xmlns:r="http://schemas.openxmlformats.org/officeDocument/2006/relationships" name="里程碑" sheetId="3" r:id="R592912f7bcfd42d4"/>
    <x:sheet xmlns:r="http://schemas.openxmlformats.org/officeDocument/2006/relationships" name="更新日志" sheetId="4" r:id="R90abb431f267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2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1"/>
      <x:color rgb="FF173F5F"/>
      <x:name val="Carlito"/>
    </x:font>
    <x:font>
      <x:b/>
      <x:sz val="11"/>
      <x:color rgb="FF4B5563"/>
      <x:name val="Carlito"/>
    </x:font>
    <x:font>
      <x:b/>
      <x:sz val="11"/>
      <x:color rgb="FF166534"/>
      <x:name val="Carlito"/>
    </x:font>
    <x:font>
      <x:b/>
      <x:sz val="11"/>
      <x:color rgb="FF075985"/>
      <x:name val="Carlito"/>
    </x:font>
    <x:font>
      <x:b/>
      <x:sz val="11"/>
      <x:color rgb="FF854D0E"/>
      <x:name val="Carlito"/>
    </x:font>
    <x:font>
      <x:sz val="10"/>
      <x:name val="Microsoft YaHei"/>
    </x:font>
    <x:font>
      <x:sz val="11"/>
      <x:color rgb="FF333333"/>
      <x:name val="Carlito"/>
    </x:font>
    <x:font>
      <x:sz val="11"/>
      <x:color rgb="FF333333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1F4"/>
      </x:patternFill>
    </x:fill>
    <x:fill>
      <x:patternFill patternType="solid">
        <x:fgColor rgb="FFDDF3E4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EAF4EF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EAF4EF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</x:borders>
  <x:cellStyleXfs count="1">
    <x:xf numFmtId="0" fontId="0" fillId="0" borderId="0"/>
  </x:cellStyleXfs>
  <x:cellXfs count="4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horizontal="center"/>
    </x:xf>
    <x:xf numFmtId="0" fontId="8" fillId="8" borderId="3" xfId="0" applyNumberFormat="1" applyFont="1" applyFill="1" applyBorder="1" applyAlignment="1">
      <x:alignment horizontal="center"/>
    </x:xf>
    <x:xf numFmtId="0" fontId="8" fillId="8" borderId="4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0" fontId="8" fillId="8" borderId="6" xfId="0" applyNumberFormat="1" applyFont="1" applyFill="1" applyBorder="1" applyAlignment="1">
      <x:alignment horizontal="center"/>
    </x:xf>
    <x:xf numFmtId="0" fontId="8" fillId="8" borderId="7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/>
    </x:xf>
    <x:xf numFmtId="0" fontId="8" fillId="8" borderId="9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8" fillId="8" borderId="7" xfId="0" applyNumberFormat="1" applyFont="1" applyFill="1" applyBorder="1" applyAlignment="1">
      <x:alignment horizontal="center"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8" borderId="9" xfId="0" applyNumberFormat="1" applyFont="1" applyFill="1" applyBorder="1" applyAlignment="1">
      <x:alignment horizontal="center" vertical="center"/>
    </x:xf>
    <x:xf numFmtId="201" fontId="8" fillId="8" borderId="2" xfId="0" applyNumberFormat="1" applyFont="1" applyFill="1" applyBorder="1" applyAlignment="1">
      <x:alignment horizontal="center" vertical="center"/>
    </x:xf>
    <x:xf numFmtId="201" fontId="8" fillId="8" borderId="3" xfId="0" applyNumberFormat="1" applyFont="1" applyFill="1" applyBorder="1" applyAlignment="1">
      <x:alignment horizontal="center" vertical="center"/>
    </x:xf>
    <x:xf numFmtId="201" fontId="8" fillId="8" borderId="4" xfId="0" applyNumberFormat="1" applyFont="1" applyFill="1" applyBorder="1" applyAlignment="1">
      <x:alignment horizontal="center" vertical="center"/>
    </x:xf>
    <x:xf numFmtId="201" fontId="8" fillId="8" borderId="5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6" xfId="0" applyNumberFormat="1" applyFont="1" applyFill="1" applyBorder="1" applyAlignment="1">
      <x:alignment horizontal="center" vertical="center"/>
    </x:xf>
    <x:xf numFmtId="201" fontId="8" fillId="8" borderId="7" xfId="0" applyNumberFormat="1" applyFont="1" applyFill="1" applyBorder="1" applyAlignment="1">
      <x:alignment horizontal="center" vertical="center"/>
    </x:xf>
    <x:xf numFmtId="201" fontId="8" fillId="8" borderId="8" xfId="0" applyNumberFormat="1" applyFont="1" applyFill="1" applyBorder="1" applyAlignment="1">
      <x:alignment horizontal="center" vertical="center"/>
    </x:xf>
    <x:xf numFmtId="201" fontId="8" fillId="8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0" fontId="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201" fontId="8" fillId="13" borderId="0" xfId="0" applyNumberFormat="1" applyFont="1" applyFill="1" applyBorder="1"/>
    <x:xf numFmtId="201" fontId="8" fillId="13" borderId="0" xfId="0" applyNumberFormat="1" applyFont="1" applyFill="1" applyBorder="1" applyAlignment="1">
      <x:alignment horizontal="center"/>
    </x:xf>
    <x:xf numFmtId="201" fontId="8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vertical="center"/>
    </x:xf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5" xfId="0" applyNumberFormat="1" applyFont="1" applyFill="1" applyBorder="1"/>
    <x:xf numFmtId="0" fontId="7" fillId="12" xfId="0" applyNumberFormat="1" applyFont="1" applyFill="1" applyBorder="0"/>
    <x:xf numFmtId="0" fontId="7" fillId="12" borderId="6" xfId="0" applyNumberFormat="1" applyFont="1" applyFill="1" applyBorder="1"/>
    <x:xf numFmtId="0" fontId="7" fillId="12" borderId="7" xfId="0" applyNumberFormat="1" applyFont="1" applyFill="1" applyBorder="1"/>
    <x:xf numFmtId="0" fontId="7" fillId="12" borderId="8" xfId="0" applyNumberFormat="1" applyFont="1" applyFill="1" applyBorder="1"/>
    <x:xf numFmtId="0" fontId="7" fillId="12" borderId="9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5" xfId="0" applyNumberFormat="1" applyFont="1" applyFill="1" applyBorder="1" applyAlignment="1">
      <x:alignment wrapText="1"/>
    </x:xf>
    <x:xf numFmtId="0" fontId="7" fillId="12" xfId="0" applyNumberFormat="1" applyFont="1" applyFill="1" applyBorder="0" applyAlignment="1">
      <x:alignment wrapText="1"/>
    </x:xf>
    <x:xf numFmtId="0" fontId="7" fillId="12" borderId="6" xfId="0" applyNumberFormat="1" applyFont="1" applyFill="1" applyBorder="1" applyAlignment="1">
      <x:alignment wrapText="1"/>
    </x:xf>
    <x:xf numFmtId="0" fontId="7" fillId="12" borderId="7" xfId="0" applyNumberFormat="1" applyFont="1" applyFill="1" applyBorder="1" applyAlignment="1">
      <x:alignment wrapText="1"/>
    </x:xf>
    <x:xf numFmtId="0" fontId="7" fillId="12" borderId="8" xfId="0" applyNumberFormat="1" applyFont="1" applyFill="1" applyBorder="1" applyAlignment="1">
      <x:alignment wrapText="1"/>
    </x:xf>
    <x:xf numFmtId="0" fontId="7" fillId="12" borderId="9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vertical="center" wrapText="1"/>
    </x:xf>
    <x:xf numFmtId="0" fontId="7" fillId="12" borderId="3" xfId="0" applyNumberFormat="1" applyFont="1" applyFill="1" applyBorder="1" applyAlignment="1">
      <x:alignment vertical="center" wrapText="1"/>
    </x:xf>
    <x:xf numFmtId="0" fontId="7" fillId="12" borderId="4" xfId="0" applyNumberFormat="1" applyFont="1" applyFill="1" applyBorder="1" applyAlignment="1">
      <x:alignment vertical="center" wrapText="1"/>
    </x:xf>
    <x:xf numFmtId="0" fontId="7" fillId="12" borderId="5" xfId="0" applyNumberFormat="1" applyFont="1" applyFill="1" applyBorder="1" applyAlignment="1">
      <x:alignment vertical="center" wrapText="1"/>
    </x:xf>
    <x:xf numFmtId="0" fontId="7" fillId="12" xfId="0" applyNumberFormat="1" applyFont="1" applyFill="1" applyBorder="0" applyAlignment="1">
      <x:alignment vertical="center" wrapText="1"/>
    </x:xf>
    <x:xf numFmtId="0" fontId="7" fillId="12" borderId="6" xfId="0" applyNumberFormat="1" applyFont="1" applyFill="1" applyBorder="1" applyAlignment="1">
      <x:alignment vertical="center" wrapText="1"/>
    </x:xf>
    <x:xf numFmtId="0" fontId="7" fillId="12" borderId="7" xfId="0" applyNumberFormat="1" applyFont="1" applyFill="1" applyBorder="1" applyAlignment="1">
      <x:alignment vertical="center" wrapText="1"/>
    </x:xf>
    <x:xf numFmtId="0" fontId="7" fillId="12" borderId="8" xfId="0" applyNumberFormat="1" applyFont="1" applyFill="1" applyBorder="1" applyAlignment="1">
      <x:alignment vertical="center" wrapText="1"/>
    </x:xf>
    <x:xf numFmtId="0" fontId="7" fillId="12" borderId="9" xfId="0" applyNumberFormat="1" applyFont="1" applyFill="1" applyBorder="1" applyAlignment="1">
      <x:alignment vertical="center" wrapText="1"/>
    </x:xf>
    <x:xf numFmtId="0" fontId="8" fillId="13" borderId="2" xfId="0" applyNumberFormat="1" applyFont="1" applyFill="1" applyBorder="1"/>
    <x:xf numFmtId="0" fontId="8" fillId="13" borderId="3" xfId="0" applyNumberFormat="1" applyFont="1" applyFill="1" applyBorder="1"/>
    <x:xf numFmtId="0" fontId="8" fillId="13" borderId="4" xfId="0" applyNumberFormat="1" applyFont="1" applyFill="1" applyBorder="1"/>
    <x:xf numFmtId="0" fontId="8" fillId="13" borderId="5" xfId="0" applyNumberFormat="1" applyFont="1" applyFill="1" applyBorder="1"/>
    <x:xf numFmtId="0" fontId="8" fillId="13" xfId="0" applyNumberFormat="1" applyFont="1" applyFill="1" applyBorder="0"/>
    <x:xf numFmtId="0" fontId="8" fillId="13" borderId="6" xfId="0" applyNumberFormat="1" applyFont="1" applyFill="1" applyBorder="1"/>
    <x:xf numFmtId="0" fontId="8" fillId="13" borderId="7" xfId="0" applyNumberFormat="1" applyFont="1" applyFill="1" applyBorder="1"/>
    <x:xf numFmtId="0" fontId="8" fillId="13" borderId="8" xfId="0" applyNumberFormat="1" applyFont="1" applyFill="1" applyBorder="1"/>
    <x:xf numFmtId="0" fontId="8" fillId="13" borderId="9" xfId="0" applyNumberFormat="1" applyFont="1" applyFill="1" applyBorder="1"/>
    <x:xf numFmtId="0" fontId="8" fillId="13" borderId="2" xfId="0" applyNumberFormat="1" applyFont="1" applyFill="1" applyBorder="1" applyAlignment="1">
      <x:alignment wrapText="1"/>
    </x:xf>
    <x:xf numFmtId="0" fontId="8" fillId="13" borderId="3" xfId="0" applyNumberFormat="1" applyFont="1" applyFill="1" applyBorder="1" applyAlignment="1">
      <x:alignment wrapText="1"/>
    </x:xf>
    <x:xf numFmtId="0" fontId="8" fillId="13" borderId="4" xfId="0" applyNumberFormat="1" applyFont="1" applyFill="1" applyBorder="1" applyAlignment="1">
      <x:alignment wrapText="1"/>
    </x:xf>
    <x:xf numFmtId="0" fontId="8" fillId="13" borderId="5" xfId="0" applyNumberFormat="1" applyFont="1" applyFill="1" applyBorder="1" applyAlignment="1">
      <x:alignment wrapText="1"/>
    </x:xf>
    <x:xf numFmtId="0" fontId="8" fillId="13" xfId="0" applyNumberFormat="1" applyFont="1" applyFill="1" applyBorder="0" applyAlignment="1">
      <x:alignment wrapText="1"/>
    </x:xf>
    <x:xf numFmtId="0" fontId="8" fillId="13" borderId="6" xfId="0" applyNumberFormat="1" applyFont="1" applyFill="1" applyBorder="1" applyAlignment="1">
      <x:alignment wrapText="1"/>
    </x:xf>
    <x:xf numFmtId="0" fontId="8" fillId="13" borderId="7" xfId="0" applyNumberFormat="1" applyFont="1" applyFill="1" applyBorder="1" applyAlignment="1">
      <x:alignment wrapText="1"/>
    </x:xf>
    <x:xf numFmtId="0" fontId="8" fillId="13" borderId="8" xfId="0" applyNumberFormat="1" applyFont="1" applyFill="1" applyBorder="1" applyAlignment="1">
      <x:alignment wrapText="1"/>
    </x:xf>
    <x:xf numFmtId="0" fontId="8" fillId="13" borderId="9" xfId="0" applyNumberFormat="1" applyFont="1" applyFill="1" applyBorder="1" applyAlignment="1">
      <x:alignment wrapText="1"/>
    </x:xf>
    <x:xf numFmtId="0" fontId="8" fillId="13" borderId="2" xfId="0" applyNumberFormat="1" applyFont="1" applyFill="1" applyBorder="1" applyAlignment="1">
      <x:alignment vertical="center" wrapText="1"/>
    </x:xf>
    <x:xf numFmtId="0" fontId="8" fillId="13" borderId="3" xfId="0" applyNumberFormat="1" applyFont="1" applyFill="1" applyBorder="1" applyAlignment="1">
      <x:alignment vertical="center" wrapText="1"/>
    </x:xf>
    <x:xf numFmtId="0" fontId="8" fillId="13" borderId="4" xfId="0" applyNumberFormat="1" applyFont="1" applyFill="1" applyBorder="1" applyAlignment="1">
      <x:alignment vertical="center" wrapText="1"/>
    </x:xf>
    <x:xf numFmtId="0" fontId="8" fillId="13" borderId="5" xfId="0" applyNumberFormat="1" applyFont="1" applyFill="1" applyBorder="1" applyAlignment="1">
      <x:alignment vertical="center" wrapText="1"/>
    </x:xf>
    <x:xf numFmtId="0" fontId="8" fillId="13" xfId="0" applyNumberFormat="1" applyFont="1" applyFill="1" applyBorder="0" applyAlignment="1">
      <x:alignment vertical="center" wrapText="1"/>
    </x:xf>
    <x:xf numFmtId="0" fontId="8" fillId="13" borderId="6" xfId="0" applyNumberFormat="1" applyFont="1" applyFill="1" applyBorder="1" applyAlignment="1">
      <x:alignment vertical="center" wrapText="1"/>
    </x:xf>
    <x:xf numFmtId="0" fontId="8" fillId="13" borderId="7" xfId="0" applyNumberFormat="1" applyFont="1" applyFill="1" applyBorder="1" applyAlignment="1">
      <x:alignment vertical="center" wrapText="1"/>
    </x:xf>
    <x:xf numFmtId="0" fontId="8" fillId="13" borderId="8" xfId="0" applyNumberFormat="1" applyFont="1" applyFill="1" applyBorder="1" applyAlignment="1">
      <x:alignment vertical="center" wrapText="1"/>
    </x:xf>
    <x:xf numFmtId="0" fontId="8" fillId="13" borderId="9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/>
    <x:xf numFmtId="0" fontId="10" fillId="10" borderId="2" xfId="0" applyNumberFormat="1" applyFont="1" applyFill="1" applyBorder="1"/>
    <x:xf numFmtId="0" fontId="10" fillId="10" borderId="3" xfId="0" applyNumberFormat="1" applyFont="1" applyFill="1" applyBorder="1"/>
    <x:xf numFmtId="0" fontId="10" fillId="10" borderId="4" xfId="0" applyNumberFormat="1" applyFont="1" applyFill="1" applyBorder="1"/>
    <x:xf numFmtId="0" fontId="10" fillId="10" borderId="5" xfId="0" applyNumberFormat="1" applyFont="1" applyFill="1" applyBorder="1"/>
    <x:xf numFmtId="0" fontId="10" fillId="10" xfId="0" applyNumberFormat="1" applyFont="1" applyFill="1" applyBorder="0"/>
    <x:xf numFmtId="0" fontId="10" fillId="10" borderId="6" xfId="0" applyNumberFormat="1" applyFont="1" applyFill="1" applyBorder="1"/>
    <x:xf numFmtId="0" fontId="10" fillId="10" borderId="7" xfId="0" applyNumberFormat="1" applyFont="1" applyFill="1" applyBorder="1"/>
    <x:xf numFmtId="0" fontId="10" fillId="10" borderId="8" xfId="0" applyNumberFormat="1" applyFont="1" applyFill="1" applyBorder="1"/>
    <x:xf numFmtId="0" fontId="10" fillId="10" borderId="9" xfId="0" applyNumberFormat="1" applyFont="1" applyFill="1" applyBorder="1"/>
    <x:xf numFmtId="0" fontId="10" fillId="10" borderId="2" xfId="0" applyNumberFormat="1" applyFont="1" applyFill="1" applyBorder="1" applyAlignment="1">
      <x:alignment wrapText="1"/>
    </x:xf>
    <x:xf numFmtId="0" fontId="10" fillId="10" borderId="3" xfId="0" applyNumberFormat="1" applyFont="1" applyFill="1" applyBorder="1" applyAlignment="1">
      <x:alignment wrapText="1"/>
    </x:xf>
    <x:xf numFmtId="0" fontId="10" fillId="10" borderId="4" xfId="0" applyNumberFormat="1" applyFont="1" applyFill="1" applyBorder="1" applyAlignment="1">
      <x:alignment wrapText="1"/>
    </x:xf>
    <x:xf numFmtId="0" fontId="10" fillId="10" borderId="5" xfId="0" applyNumberFormat="1" applyFont="1" applyFill="1" applyBorder="1" applyAlignment="1">
      <x:alignment wrapText="1"/>
    </x:xf>
    <x:xf numFmtId="0" fontId="10" fillId="10" xfId="0" applyNumberFormat="1" applyFont="1" applyFill="1" applyBorder="0" applyAlignment="1">
      <x:alignment wrapText="1"/>
    </x:xf>
    <x:xf numFmtId="0" fontId="10" fillId="10" borderId="6" xfId="0" applyNumberFormat="1" applyFont="1" applyFill="1" applyBorder="1" applyAlignment="1">
      <x:alignment wrapText="1"/>
    </x:xf>
    <x:xf numFmtId="0" fontId="10" fillId="10" borderId="7" xfId="0" applyNumberFormat="1" applyFont="1" applyFill="1" applyBorder="1" applyAlignment="1">
      <x:alignment wrapText="1"/>
    </x:xf>
    <x:xf numFmtId="0" fontId="10" fillId="10" borderId="8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wrapText="1"/>
    </x:xf>
    <x:xf numFmtId="0" fontId="10" fillId="10" borderId="2" xfId="0" applyNumberFormat="1" applyFont="1" applyFill="1" applyBorder="1" applyAlignment="1">
      <x:alignment vertical="center" wrapText="1"/>
    </x:xf>
    <x:xf numFmtId="0" fontId="10" fillId="10" borderId="3" xfId="0" applyNumberFormat="1" applyFont="1" applyFill="1" applyBorder="1" applyAlignment="1">
      <x:alignment vertical="center" wrapText="1"/>
    </x:xf>
    <x:xf numFmtId="0" fontId="10" fillId="10" borderId="4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xfId="0" applyNumberFormat="1" applyFont="1" applyFill="1" applyBorder="0" applyAlignment="1">
      <x:alignment vertical="center" wrapText="1"/>
    </x:xf>
    <x:xf numFmtId="0" fontId="10" fillId="10" borderId="6" xfId="0" applyNumberFormat="1" applyFont="1" applyFill="1" applyBorder="1" applyAlignment="1">
      <x:alignment vertical="center" wrapText="1"/>
    </x:xf>
    <x:xf numFmtId="0" fontId="10" fillId="10" borderId="7" xfId="0" applyNumberFormat="1" applyFont="1" applyFill="1" applyBorder="1" applyAlignment="1">
      <x:alignment vertical="center" wrapText="1"/>
    </x:xf>
    <x:xf numFmtId="0" fontId="10" fillId="10" borderId="8" xfId="0" applyNumberFormat="1" applyFont="1" applyFill="1" applyBorder="1" applyAlignment="1">
      <x:alignment vertical="center" wrapText="1"/>
    </x:xf>
    <x:xf numFmtId="0" fontId="10" fillId="10" borderId="9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left"/>
    </x:xf>
    <x:xf numFmtId="0" fontId="1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center"/>
    </x:xf>
    <x:xf numFmtId="0" fontId="6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horizontal="center"/>
    </x:xf>
    <x:xf numFmtId="0" fontId="7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201" fontId="8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7" fillId="18" borderId="2" xfId="0" applyNumberFormat="1" applyFont="1" applyFill="1" applyBorder="1"/>
    <x:xf numFmtId="0" fontId="7" fillId="18" borderId="3" xfId="0" applyNumberFormat="1" applyFont="1" applyFill="1" applyBorder="1"/>
    <x:xf numFmtId="0" fontId="7" fillId="18" borderId="4" xfId="0" applyNumberFormat="1" applyFont="1" applyFill="1" applyBorder="1"/>
    <x:xf numFmtId="0" fontId="7" fillId="18" borderId="5" xfId="0" applyNumberFormat="1" applyFont="1" applyFill="1" applyBorder="1"/>
    <x:xf numFmtId="0" fontId="7" fillId="18" xfId="0" applyNumberFormat="1" applyFont="1" applyFill="1" applyBorder="0"/>
    <x:xf numFmtId="0" fontId="7" fillId="18" borderId="6" xfId="0" applyNumberFormat="1" applyFont="1" applyFill="1" applyBorder="1"/>
    <x:xf numFmtId="0" fontId="7" fillId="18" borderId="7" xfId="0" applyNumberFormat="1" applyFont="1" applyFill="1" applyBorder="1"/>
    <x:xf numFmtId="0" fontId="7" fillId="18" borderId="8" xfId="0" applyNumberFormat="1" applyFont="1" applyFill="1" applyBorder="1"/>
    <x:xf numFmtId="0" fontId="7" fillId="18" borderId="9" xfId="0" applyNumberFormat="1" applyFont="1" applyFill="1" applyBorder="1"/>
    <x:xf numFmtId="0" fontId="7" fillId="18" borderId="2" xfId="0" applyNumberFormat="1" applyFont="1" applyFill="1" applyBorder="1" applyAlignment="1">
      <x:alignment wrapText="1"/>
    </x:xf>
    <x:xf numFmtId="0" fontId="7" fillId="18" borderId="3" xfId="0" applyNumberFormat="1" applyFont="1" applyFill="1" applyBorder="1" applyAlignment="1">
      <x:alignment wrapText="1"/>
    </x:xf>
    <x:xf numFmtId="0" fontId="7" fillId="18" borderId="4" xfId="0" applyNumberFormat="1" applyFont="1" applyFill="1" applyBorder="1" applyAlignment="1">
      <x:alignment wrapText="1"/>
    </x:xf>
    <x:xf numFmtId="0" fontId="7" fillId="18" borderId="5" xfId="0" applyNumberFormat="1" applyFont="1" applyFill="1" applyBorder="1" applyAlignment="1">
      <x:alignment wrapText="1"/>
    </x:xf>
    <x:xf numFmtId="0" fontId="7" fillId="18" xfId="0" applyNumberFormat="1" applyFont="1" applyFill="1" applyBorder="0" applyAlignment="1">
      <x:alignment wrapText="1"/>
    </x:xf>
    <x:xf numFmtId="0" fontId="7" fillId="18" borderId="6" xfId="0" applyNumberFormat="1" applyFont="1" applyFill="1" applyBorder="1" applyAlignment="1">
      <x:alignment wrapText="1"/>
    </x:xf>
    <x:xf numFmtId="0" fontId="7" fillId="18" borderId="7" xfId="0" applyNumberFormat="1" applyFont="1" applyFill="1" applyBorder="1" applyAlignment="1">
      <x:alignment wrapText="1"/>
    </x:xf>
    <x:xf numFmtId="0" fontId="7" fillId="18" borderId="8" xfId="0" applyNumberFormat="1" applyFont="1" applyFill="1" applyBorder="1" applyAlignment="1">
      <x:alignment wrapText="1"/>
    </x:xf>
    <x:xf numFmtId="0" fontId="7" fillId="18" borderId="9" xfId="0" applyNumberFormat="1" applyFont="1" applyFill="1" applyBorder="1" applyAlignment="1">
      <x:alignment wrapText="1"/>
    </x:xf>
    <x:xf numFmtId="0" fontId="7" fillId="18" borderId="2" xfId="0" applyNumberFormat="1" applyFont="1" applyFill="1" applyBorder="1" applyAlignment="1">
      <x:alignment vertical="center" wrapText="1"/>
    </x:xf>
    <x:xf numFmtId="0" fontId="7" fillId="18" borderId="3" xfId="0" applyNumberFormat="1" applyFont="1" applyFill="1" applyBorder="1" applyAlignment="1">
      <x:alignment vertical="center" wrapText="1"/>
    </x:xf>
    <x:xf numFmtId="0" fontId="7" fillId="18" borderId="4" xfId="0" applyNumberFormat="1" applyFont="1" applyFill="1" applyBorder="1" applyAlignment="1">
      <x:alignment vertical="center" wrapText="1"/>
    </x:xf>
    <x:xf numFmtId="0" fontId="7" fillId="18" borderId="5" xfId="0" applyNumberFormat="1" applyFont="1" applyFill="1" applyBorder="1" applyAlignment="1">
      <x:alignment vertical="center" wrapText="1"/>
    </x:xf>
    <x:xf numFmtId="0" fontId="7" fillId="18" xfId="0" applyNumberFormat="1" applyFont="1" applyFill="1" applyBorder="0" applyAlignment="1">
      <x:alignment vertical="center" wrapText="1"/>
    </x:xf>
    <x:xf numFmtId="0" fontId="7" fillId="18" borderId="6" xfId="0" applyNumberFormat="1" applyFont="1" applyFill="1" applyBorder="1" applyAlignment="1">
      <x:alignment vertical="center" wrapText="1"/>
    </x:xf>
    <x:xf numFmtId="0" fontId="7" fillId="18" borderId="7" xfId="0" applyNumberFormat="1" applyFont="1" applyFill="1" applyBorder="1" applyAlignment="1">
      <x:alignment vertical="center" wrapText="1"/>
    </x:xf>
    <x:xf numFmtId="0" fontId="7" fillId="18" borderId="8" xfId="0" applyNumberFormat="1" applyFont="1" applyFill="1" applyBorder="1" applyAlignment="1">
      <x:alignment vertical="center" wrapText="1"/>
    </x:xf>
    <x:xf numFmtId="0" fontId="7" fillId="18" borderId="9" xfId="0" applyNumberFormat="1" applyFont="1" applyFill="1" applyBorder="1" applyAlignment="1">
      <x:alignment vertical="center" wrapText="1"/>
    </x:xf>
    <x:xf numFmtId="0" fontId="8" fillId="19" borderId="2" xfId="0" applyNumberFormat="1" applyFont="1" applyFill="1" applyBorder="1"/>
    <x:xf numFmtId="0" fontId="8" fillId="19" borderId="3" xfId="0" applyNumberFormat="1" applyFont="1" applyFill="1" applyBorder="1"/>
    <x:xf numFmtId="0" fontId="8" fillId="19" borderId="4" xfId="0" applyNumberFormat="1" applyFont="1" applyFill="1" applyBorder="1"/>
    <x:xf numFmtId="0" fontId="8" fillId="19" borderId="5" xfId="0" applyNumberFormat="1" applyFont="1" applyFill="1" applyBorder="1"/>
    <x:xf numFmtId="0" fontId="8" fillId="19" xfId="0" applyNumberFormat="1" applyFont="1" applyFill="1" applyBorder="0"/>
    <x:xf numFmtId="0" fontId="8" fillId="19" borderId="6" xfId="0" applyNumberFormat="1" applyFont="1" applyFill="1" applyBorder="1"/>
    <x:xf numFmtId="0" fontId="8" fillId="19" borderId="7" xfId="0" applyNumberFormat="1" applyFont="1" applyFill="1" applyBorder="1"/>
    <x:xf numFmtId="0" fontId="8" fillId="19" borderId="8" xfId="0" applyNumberFormat="1" applyFont="1" applyFill="1" applyBorder="1"/>
    <x:xf numFmtId="0" fontId="8" fillId="19" borderId="9" xfId="0" applyNumberFormat="1" applyFont="1" applyFill="1" applyBorder="1"/>
    <x:xf numFmtId="0" fontId="8" fillId="19" borderId="2" xfId="0" applyNumberFormat="1" applyFont="1" applyFill="1" applyBorder="1" applyAlignment="1">
      <x:alignment wrapText="1"/>
    </x:xf>
    <x:xf numFmtId="0" fontId="8" fillId="19" borderId="3" xfId="0" applyNumberFormat="1" applyFont="1" applyFill="1" applyBorder="1" applyAlignment="1">
      <x:alignment wrapText="1"/>
    </x:xf>
    <x:xf numFmtId="0" fontId="8" fillId="19" borderId="4" xfId="0" applyNumberFormat="1" applyFont="1" applyFill="1" applyBorder="1" applyAlignment="1">
      <x:alignment wrapText="1"/>
    </x:xf>
    <x:xf numFmtId="0" fontId="8" fillId="19" borderId="5" xfId="0" applyNumberFormat="1" applyFont="1" applyFill="1" applyBorder="1" applyAlignment="1">
      <x:alignment wrapText="1"/>
    </x:xf>
    <x:xf numFmtId="0" fontId="8" fillId="19" xfId="0" applyNumberFormat="1" applyFont="1" applyFill="1" applyBorder="0" applyAlignment="1">
      <x:alignment wrapText="1"/>
    </x:xf>
    <x:xf numFmtId="0" fontId="8" fillId="19" borderId="6" xfId="0" applyNumberFormat="1" applyFont="1" applyFill="1" applyBorder="1" applyAlignment="1">
      <x:alignment wrapText="1"/>
    </x:xf>
    <x:xf numFmtId="0" fontId="8" fillId="19" borderId="7" xfId="0" applyNumberFormat="1" applyFont="1" applyFill="1" applyBorder="1" applyAlignment="1">
      <x:alignment wrapText="1"/>
    </x:xf>
    <x:xf numFmtId="0" fontId="8" fillId="19" borderId="8" xfId="0" applyNumberFormat="1" applyFont="1" applyFill="1" applyBorder="1" applyAlignment="1">
      <x:alignment wrapText="1"/>
    </x:xf>
    <x:xf numFmtId="0" fontId="8" fillId="19" borderId="9" xfId="0" applyNumberFormat="1" applyFont="1" applyFill="1" applyBorder="1" applyAlignment="1">
      <x:alignment wrapText="1"/>
    </x:xf>
    <x:xf numFmtId="0" fontId="8" fillId="19" borderId="2" xfId="0" applyNumberFormat="1" applyFont="1" applyFill="1" applyBorder="1" applyAlignment="1">
      <x:alignment vertical="center" wrapText="1"/>
    </x:xf>
    <x:xf numFmtId="0" fontId="8" fillId="19" borderId="3" xfId="0" applyNumberFormat="1" applyFont="1" applyFill="1" applyBorder="1" applyAlignment="1">
      <x:alignment vertical="center" wrapText="1"/>
    </x:xf>
    <x:xf numFmtId="0" fontId="8" fillId="19" borderId="4" xfId="0" applyNumberFormat="1" applyFont="1" applyFill="1" applyBorder="1" applyAlignment="1">
      <x:alignment vertical="center" wrapText="1"/>
    </x:xf>
    <x:xf numFmtId="0" fontId="8" fillId="19" borderId="5" xfId="0" applyNumberFormat="1" applyFont="1" applyFill="1" applyBorder="1" applyAlignment="1">
      <x:alignment vertical="center" wrapText="1"/>
    </x:xf>
    <x:xf numFmtId="0" fontId="8" fillId="19" xfId="0" applyNumberFormat="1" applyFont="1" applyFill="1" applyBorder="0" applyAlignment="1">
      <x:alignment vertical="center" wrapText="1"/>
    </x:xf>
    <x:xf numFmtId="0" fontId="8" fillId="19" borderId="6" xfId="0" applyNumberFormat="1" applyFont="1" applyFill="1" applyBorder="1" applyAlignment="1">
      <x:alignment vertical="center" wrapText="1"/>
    </x:xf>
    <x:xf numFmtId="0" fontId="8" fillId="19" borderId="7" xfId="0" applyNumberFormat="1" applyFont="1" applyFill="1" applyBorder="1" applyAlignment="1">
      <x:alignment vertical="center" wrapText="1"/>
    </x:xf>
    <x:xf numFmtId="0" fontId="8" fillId="19" borderId="8" xfId="0" applyNumberFormat="1" applyFont="1" applyFill="1" applyBorder="1" applyAlignment="1">
      <x:alignment vertical="center" wrapText="1"/>
    </x:xf>
    <x:xf numFmtId="0" fontId="8" fillId="19" borderId="9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/>
    <x:xf numFmtId="0" fontId="11" fillId="16" borderId="2" xfId="0" applyNumberFormat="1" applyFont="1" applyFill="1" applyBorder="1"/>
    <x:xf numFmtId="0" fontId="11" fillId="16" borderId="3" xfId="0" applyNumberFormat="1" applyFont="1" applyFill="1" applyBorder="1"/>
    <x:xf numFmtId="0" fontId="11" fillId="16" borderId="4" xfId="0" applyNumberFormat="1" applyFont="1" applyFill="1" applyBorder="1"/>
    <x:xf numFmtId="0" fontId="11" fillId="16" borderId="5" xfId="0" applyNumberFormat="1" applyFont="1" applyFill="1" applyBorder="1"/>
    <x:xf numFmtId="0" fontId="11" fillId="16" xfId="0" applyNumberFormat="1" applyFont="1" applyFill="1" applyBorder="0"/>
    <x:xf numFmtId="0" fontId="11" fillId="16" borderId="6" xfId="0" applyNumberFormat="1" applyFont="1" applyFill="1" applyBorder="1"/>
    <x:xf numFmtId="0" fontId="11" fillId="16" borderId="7" xfId="0" applyNumberFormat="1" applyFont="1" applyFill="1" applyBorder="1"/>
    <x:xf numFmtId="0" fontId="11" fillId="16" borderId="8" xfId="0" applyNumberFormat="1" applyFont="1" applyFill="1" applyBorder="1"/>
    <x:xf numFmtId="0" fontId="11" fillId="16" borderId="9" xfId="0" applyNumberFormat="1" applyFont="1" applyFill="1" applyBorder="1"/>
    <x:xf numFmtId="0" fontId="11" fillId="16" borderId="2" xfId="0" applyNumberFormat="1" applyFont="1" applyFill="1" applyBorder="1" applyAlignment="1">
      <x:alignment wrapText="1"/>
    </x:xf>
    <x:xf numFmtId="0" fontId="11" fillId="16" borderId="3" xfId="0" applyNumberFormat="1" applyFont="1" applyFill="1" applyBorder="1" applyAlignment="1">
      <x:alignment wrapText="1"/>
    </x:xf>
    <x:xf numFmtId="0" fontId="11" fillId="16" borderId="4" xfId="0" applyNumberFormat="1" applyFont="1" applyFill="1" applyBorder="1" applyAlignment="1">
      <x:alignment wrapText="1"/>
    </x:xf>
    <x:xf numFmtId="0" fontId="11" fillId="16" borderId="5" xfId="0" applyNumberFormat="1" applyFont="1" applyFill="1" applyBorder="1" applyAlignment="1">
      <x:alignment wrapText="1"/>
    </x:xf>
    <x:xf numFmtId="0" fontId="11" fillId="16" xfId="0" applyNumberFormat="1" applyFont="1" applyFill="1" applyBorder="0" applyAlignment="1">
      <x:alignment wrapText="1"/>
    </x:xf>
    <x:xf numFmtId="0" fontId="11" fillId="16" borderId="6" xfId="0" applyNumberFormat="1" applyFont="1" applyFill="1" applyBorder="1" applyAlignment="1">
      <x:alignment wrapText="1"/>
    </x:xf>
    <x:xf numFmtId="0" fontId="11" fillId="16" borderId="7" xfId="0" applyNumberFormat="1" applyFont="1" applyFill="1" applyBorder="1" applyAlignment="1">
      <x:alignment wrapText="1"/>
    </x:xf>
    <x:xf numFmtId="0" fontId="11" fillId="16" borderId="8" xfId="0" applyNumberFormat="1" applyFont="1" applyFill="1" applyBorder="1" applyAlignment="1">
      <x:alignment wrapText="1"/>
    </x:xf>
    <x:xf numFmtId="0" fontId="11" fillId="16" borderId="9" xfId="0" applyNumberFormat="1" applyFont="1" applyFill="1" applyBorder="1" applyAlignment="1">
      <x:alignment wrapText="1"/>
    </x:xf>
    <x:xf numFmtId="0" fontId="11" fillId="16" borderId="2" xfId="0" applyNumberFormat="1" applyFont="1" applyFill="1" applyBorder="1" applyAlignment="1">
      <x:alignment vertical="center" wrapText="1"/>
    </x:xf>
    <x:xf numFmtId="0" fontId="11" fillId="16" borderId="3" xfId="0" applyNumberFormat="1" applyFont="1" applyFill="1" applyBorder="1" applyAlignment="1">
      <x:alignment vertical="center" wrapText="1"/>
    </x:xf>
    <x:xf numFmtId="0" fontId="11" fillId="16" borderId="4" xfId="0" applyNumberFormat="1" applyFont="1" applyFill="1" applyBorder="1" applyAlignment="1">
      <x:alignment vertical="center" wrapText="1"/>
    </x:xf>
    <x:xf numFmtId="0" fontId="11" fillId="16" borderId="5" xfId="0" applyNumberFormat="1" applyFont="1" applyFill="1" applyBorder="1" applyAlignment="1">
      <x:alignment vertical="center" wrapText="1"/>
    </x:xf>
    <x:xf numFmtId="0" fontId="11" fillId="16" xfId="0" applyNumberFormat="1" applyFont="1" applyFill="1" applyBorder="0" applyAlignment="1">
      <x:alignment vertical="center" wrapText="1"/>
    </x:xf>
    <x:xf numFmtId="0" fontId="11" fillId="16" borderId="6" xfId="0" applyNumberFormat="1" applyFont="1" applyFill="1" applyBorder="1" applyAlignment="1">
      <x:alignment vertical="center" wrapText="1"/>
    </x:xf>
    <x:xf numFmtId="0" fontId="11" fillId="16" borderId="7" xfId="0" applyNumberFormat="1" applyFont="1" applyFill="1" applyBorder="1" applyAlignment="1">
      <x:alignment vertical="center" wrapText="1"/>
    </x:xf>
    <x:xf numFmtId="0" fontId="11" fillId="16" borderId="8" xfId="0" applyNumberFormat="1" applyFont="1" applyFill="1" applyBorder="1" applyAlignment="1">
      <x:alignment vertical="center" wrapText="1"/>
    </x:xf>
    <x:xf numFmtId="0" fontId="11" fillId="1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cea74b2054f2f" /><Relationship Type="http://schemas.openxmlformats.org/officeDocument/2006/relationships/theme" Target="/xl/theme/theme1.xml" Id="Rb6a26f4aa4544feb" /><Relationship Type="http://schemas.openxmlformats.org/officeDocument/2006/relationships/sharedStrings" Target="/xl/sharedStrings.xml" Id="R260bd9d3580944f6" /><Relationship Type="http://schemas.openxmlformats.org/officeDocument/2006/relationships/worksheet" Target="/xl/worksheets/sheet1.xml" Id="R481a87d1183c4fe4" /><Relationship Type="http://schemas.openxmlformats.org/officeDocument/2006/relationships/worksheet" Target="/xl/worksheets/sheet2.xml" Id="R9d3a5b05b04f4aaa" /><Relationship Type="http://schemas.openxmlformats.org/officeDocument/2006/relationships/worksheet" Target="/xl/worksheets/sheet3.xml" Id="R592912f7bcfd42d4" /><Relationship Type="http://schemas.openxmlformats.org/officeDocument/2006/relationships/worksheet" Target="/xl/worksheets/sheet4.xml" Id="R90abb431f2674c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fb9beb0dfe42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任务状态分布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任务数</c:v>
          </c:tx>
          <c:cat>
            <c:strRef>
              <c:f>'今日看板'!$N$5:$N$9</c:f>
              <c:strCache>
                <c:ptCount val="0"/>
              </c:strCache>
            </c:strRef>
          </c:cat>
          <c:val>
            <c:numRef>
              <c:f>'今日看板'!$O$5:$O$9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fb9beb0dfe42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0b4455ab6349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29" t="str">
        <x:v>唐长安城知识图谱 · 今日进度看板</x:v>
      </x:c>
      <x:c r="B1" s="329"/>
      <x:c r="C1" s="329"/>
      <x:c r="D1" s="329"/>
      <x:c r="E1" s="329"/>
      <x:c r="F1" s="329"/>
      <x:c r="G1" s="329"/>
      <x:c r="H1" s="329"/>
      <x:c r="I1" s="329"/>
      <x:c r="J1" s="329"/>
      <x:c r="K1" s="329"/>
      <x:c r="L1" s="329"/>
    </x:row>
    <x:row r="3" ht="24" customHeight="1">
      <x:c r="A3" s="332" t="str">
        <x:v>只看这一页即可：它会根据“工作清单”的状态自动更新。最近更新：2026-08-13</x:v>
      </x:c>
      <x:c r="B3" s="332"/>
      <x:c r="C3" s="332"/>
      <x:c r="D3" s="332"/>
      <x:c r="E3" s="332"/>
      <x:c r="F3" s="332"/>
      <x:c r="G3" s="332"/>
      <x:c r="H3" s="332"/>
      <x:c r="I3" s="332"/>
      <x:c r="J3" s="332"/>
      <x:c r="K3" s="332"/>
      <x:c r="L3" s="332"/>
    </x:row>
    <x:row r="4">
      <x:c r="N4"/>
      <x:c r="O4"/>
    </x:row>
    <x:row r="5">
      <x:c r="A5" s="334" t="str">
        <x:v>总任务数</x:v>
      </x:c>
      <x:c r="B5" s="334"/>
      <x:c r="C5" s="334"/>
      <x:c r="D5" s="334" t="str">
        <x:v>已完成</x:v>
      </x:c>
      <x:c r="E5" s="334"/>
      <x:c r="F5" s="334"/>
      <x:c r="G5" s="334" t="str">
        <x:v>进行中</x:v>
      </x:c>
      <x:c r="H5" s="334"/>
      <x:c r="I5" s="334"/>
      <x:c r="J5" s="334" t="str">
        <x:v>完成率</x:v>
      </x:c>
      <x:c r="K5" s="334"/>
      <x:c r="L5" s="334"/>
      <x:c r="N5"/>
      <x:c r="O5"/>
    </x:row>
    <x:row r="6" ht="32" customHeight="1">
      <x:c r="A6" s="338" t="n">
        <x:f>COUNTA('工作清单'!$A$4:$A$200)</x:f>
        <x:v>62</x:v>
      </x:c>
      <x:c r="B6" s="338"/>
      <x:c r="C6" s="338"/>
      <x:c r="D6" s="338" t="n">
        <x:f>COUNTIF('工作清单'!$E$4:$E$200,"已完成")</x:f>
        <x:v>34</x:v>
      </x:c>
      <x:c r="E6" s="338"/>
      <x:c r="F6" s="338"/>
      <x:c r="G6" s="342" t="n">
        <x:f>COUNTIF('工作清单'!$E$4:$E$200,"进行中")</x:f>
        <x:v>7</x:v>
      </x:c>
      <x:c r="H6" s="342"/>
      <x:c r="I6" s="342"/>
      <x:c r="J6" s="347" t="n">
        <x:f>IFERROR(D6/A6,0)</x:f>
        <x:v>0.5483870967741935</x:v>
      </x:c>
      <x:c r="K6" s="347"/>
      <x:c r="L6" s="347"/>
      <x:c r="N6"/>
      <x:c r="O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N7"/>
      <x:c r="O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N8"/>
      <x:c r="O8"/>
    </x:row>
    <x:row r="9">
      <x:c r="A9" s="351" t="str">
        <x:v>现在做到哪里</x:v>
      </x:c>
      <x:c r="B9" s="351"/>
      <x:c r="C9" s="351"/>
      <x:c r="D9" s="351"/>
      <x:c r="E9" s="351"/>
      <x:c r="F9" s="351"/>
      <x:c r="G9" s="351"/>
      <x:c r="H9" s="351"/>
      <x:c r="I9" s="351"/>
      <x:c r="J9" s="351"/>
      <x:c r="K9" s="351"/>
      <x:c r="L9" s="351"/>
      <x:c r="N9"/>
      <x:c r="O9"/>
    </x:row>
    <x:row r="10" ht="24" customHeight="1">
      <x:c r="A10" s="370" t="str">
        <x:v>当前阶段：三人全量提取协作包已整理完成，公共对象编号已登记
成员A为负责人；成员B、C为协作者
协作总表：176个公共对象；“待补字段”仅用于编号复用与查重，不等于审核通过或已发布</x:v>
      </x:c>
      <x:c r="B10" s="371"/>
      <x:c r="C10" s="371"/>
      <x:c r="D10" s="371"/>
      <x:c r="E10" s="371"/>
      <x:c r="F10" s="371"/>
      <x:c r="G10" s="371"/>
      <x:c r="H10" s="371"/>
      <x:c r="I10" s="371"/>
      <x:c r="J10" s="371"/>
      <x:c r="K10" s="371"/>
      <x:c r="L10" s="372"/>
    </x:row>
    <x:row r="11" ht="24" customHeight="1">
      <x:c r="A11" s="373"/>
      <x:c r="B11" s="374"/>
      <x:c r="C11" s="374"/>
      <x:c r="D11" s="374"/>
      <x:c r="E11" s="374"/>
      <x:c r="F11" s="374"/>
      <x:c r="G11" s="374"/>
      <x:c r="H11" s="374"/>
      <x:c r="I11" s="374"/>
      <x:c r="J11" s="374"/>
      <x:c r="K11" s="374"/>
      <x:c r="L11" s="375"/>
    </x:row>
    <x:row r="12" ht="24" customHeight="1">
      <x:c r="A12" s="376"/>
      <x:c r="B12" s="377"/>
      <x:c r="C12" s="377"/>
      <x:c r="D12" s="377"/>
      <x:c r="E12" s="377"/>
      <x:c r="F12" s="377"/>
      <x:c r="G12" s="377"/>
      <x:c r="H12" s="377"/>
      <x:c r="I12" s="377"/>
      <x:c r="J12" s="377"/>
      <x:c r="K12" s="377"/>
      <x:c r="L12" s="378"/>
    </x:row>
    <x:row r="13">
      <x:c r="A13"/>
      <x:c r="B13"/>
      <x:c r="C13"/>
      <x:c r="D13"/>
      <x:c r="E13"/>
      <x:c r="F13"/>
    </x:row>
    <x:row r="14">
      <x:c r="A14" s="351" t="str">
        <x:v>下一步只做这三件事</x:v>
      </x:c>
      <x:c r="B14" s="351"/>
      <x:c r="C14" s="351"/>
      <x:c r="D14" s="351"/>
      <x:c r="E14" s="351"/>
      <x:c r="F14" s="351"/>
      <x:c r="G14" s="351"/>
      <x:c r="H14" s="351"/>
      <x:c r="I14" s="351"/>
      <x:c r="J14" s="351"/>
      <x:c r="K14" s="351"/>
      <x:c r="L14" s="351"/>
    </x:row>
    <x:row r="15" ht="24" customHeight="1">
      <x:c r="A15" s="397" t="str">
        <x:v>1. 成员A在协作表中为A、B、C分别安排首篇试运行文献。
2. 提取前查主实体登记表；A/B/C分别使用2000、3000、4000编号段。
3. 每人完成一篇或20—30条后由A集中审核；功能规则暂只复用编号和名称。</x:v>
      </x:c>
      <x:c r="B15" s="398"/>
      <x:c r="C15" s="398"/>
      <x:c r="D15" s="398"/>
      <x:c r="E15" s="398"/>
      <x:c r="F15" s="398"/>
      <x:c r="G15" s="398"/>
      <x:c r="H15" s="398"/>
      <x:c r="I15" s="398"/>
      <x:c r="J15" s="398"/>
      <x:c r="K15" s="398"/>
      <x:c r="L15" s="399"/>
    </x:row>
    <x:row r="16" ht="24" customHeight="1">
      <x:c r="A16" s="400"/>
      <x:c r="B16" s="401"/>
      <x:c r="C16" s="401"/>
      <x:c r="D16" s="401"/>
      <x:c r="E16" s="401"/>
      <x:c r="F16" s="401"/>
      <x:c r="G16" s="401"/>
      <x:c r="H16" s="401"/>
      <x:c r="I16" s="401"/>
      <x:c r="J16" s="401"/>
      <x:c r="K16" s="401"/>
      <x:c r="L16" s="402"/>
    </x:row>
    <x:row r="17" ht="24" customHeight="1">
      <x:c r="A17" s="403"/>
      <x:c r="B17" s="404"/>
      <x:c r="C17" s="404"/>
      <x:c r="D17" s="404"/>
      <x:c r="E17" s="404"/>
      <x:c r="F17" s="404"/>
      <x:c r="G17" s="404"/>
      <x:c r="H17" s="404"/>
      <x:c r="I17" s="404"/>
      <x:c r="J17" s="404"/>
      <x:c r="K17" s="404"/>
      <x:c r="L17" s="405"/>
    </x:row>
    <x:row r="18">
      <x:c r="A18"/>
      <x:c r="B18"/>
      <x:c r="C18"/>
      <x:c r="D18"/>
      <x:c r="E18"/>
      <x:c r="F18"/>
    </x:row>
    <x:row r="19">
      <x:c r="A19" s="351" t="str">
        <x:v>重要提醒</x:v>
      </x:c>
      <x:c r="B19" s="351"/>
      <x:c r="C19" s="351"/>
      <x:c r="D19" s="351"/>
      <x:c r="E19" s="351"/>
      <x:c r="F19" s="351"/>
      <x:c r="G19" s="351"/>
      <x:c r="H19" s="351"/>
      <x:c r="I19" s="351"/>
      <x:c r="J19" s="351"/>
      <x:c r="K19" s="351"/>
      <x:c r="L19" s="351"/>
    </x:row>
    <x:row r="20" ht="24" customHeight="1">
      <x:c r="A20" s="425" t="str">
        <x:v>重要提醒：公共对象由A、B、C共同复用；个人批次不得直接发布。成员A负责编号分配、集中合并、审批与平台导入；B、C按文献完成独立批次。</x:v>
      </x:c>
      <x:c r="B20" s="426"/>
      <x:c r="C20" s="426"/>
      <x:c r="D20" s="426"/>
      <x:c r="E20" s="426"/>
      <x:c r="F20" s="426"/>
      <x:c r="G20" s="426"/>
      <x:c r="H20" s="426"/>
      <x:c r="I20" s="426"/>
      <x:c r="J20" s="426"/>
      <x:c r="K20" s="426"/>
      <x:c r="L20" s="427"/>
    </x:row>
    <x:row r="21" ht="24" customHeight="1">
      <x:c r="A21" s="428"/>
      <x:c r="B21" s="429"/>
      <x:c r="C21" s="429"/>
      <x:c r="D21" s="429"/>
      <x:c r="E21" s="429"/>
      <x:c r="F21" s="429"/>
      <x:c r="G21" s="429"/>
      <x:c r="H21" s="429"/>
      <x:c r="I21" s="429"/>
      <x:c r="J21" s="429"/>
      <x:c r="K21" s="429"/>
      <x:c r="L21" s="430"/>
    </x:row>
    <x:row r="22" ht="24" customHeight="1">
      <x:c r="A22" s="431"/>
      <x:c r="B22" s="432"/>
      <x:c r="C22" s="432"/>
      <x:c r="D22" s="432"/>
      <x:c r="E22" s="432"/>
      <x:c r="F22" s="432"/>
      <x:c r="G22" s="432"/>
      <x:c r="H22" s="432"/>
      <x:c r="I22" s="432"/>
      <x:c r="J22" s="432"/>
      <x:c r="K22" s="432"/>
      <x:c r="L22" s="433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</x:sheetData>
  <x:mergeCells>
    <x:mergeCell ref="A1:L1"/>
    <x:mergeCell ref="A3:L3"/>
    <x:mergeCell ref="A5:C5"/>
    <x:mergeCell ref="D5:F5"/>
    <x:mergeCell ref="G5:I5"/>
    <x:mergeCell ref="J5:L5"/>
    <x:mergeCell ref="A6:C6"/>
    <x:mergeCell ref="D6:F6"/>
    <x:mergeCell ref="G6:I6"/>
    <x:mergeCell ref="J6:L6"/>
    <x:mergeCell ref="A9:L9"/>
    <x:mergeCell ref="A10:L12"/>
    <x:mergeCell ref="A14:L14"/>
    <x:mergeCell ref="A15:L17"/>
    <x:mergeCell ref="A19:L19"/>
    <x:mergeCell ref="A20:L22"/>
  </x:mergeCells>
  <x:pageMargins left="0.7" right="0.7" top="0.75" bottom="0.75" header="0.3" footer="0.3"/>
  <x:drawing xmlns:r="http://schemas.openxmlformats.org/officeDocument/2006/relationships" r:id="R8b0b4455ab6349a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2" hidden="0" customWidth="1"/>
    <x:col min="5" max="5" width="1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32" hidden="0" customWidth="1"/>
    <x:col min="11" max="11" width="28" hidden="0" customWidth="1"/>
    <x:col min="12" max="12" width="34" hidden="0" customWidth="1"/>
  </x:cols>
  <x:sheetData>
    <x:row r="1" ht="34" customHeight="1">
      <x:c r="A1" s="3" t="str">
        <x:v>唐长安城知识图谱 · 完整工作清单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使用方法：平时只需修改“状态、负责人、日期、下一步”。首页会自动更新。带期限的日期是建议值，可以随实际情况调整。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0" customHeight="1">
      <x:c r="A3" s="12" t="str">
        <x:v>任务编号</x:v>
      </x:c>
      <x:c r="B3" s="12" t="str">
        <x:v>阶段</x:v>
      </x:c>
      <x:c r="C3" s="12" t="str">
        <x:v>工作内容</x:v>
      </x:c>
      <x:c r="D3" s="12" t="str">
        <x:v>负责人</x:v>
      </x:c>
      <x:c r="E3" s="12" t="str">
        <x:v>状态</x:v>
      </x:c>
      <x:c r="F3" s="12" t="str">
        <x:v>优先级</x:v>
      </x:c>
      <x:c r="G3" s="12" t="str">
        <x:v>开始日期</x:v>
      </x:c>
      <x:c r="H3" s="12" t="str">
        <x:v>计划完成</x:v>
      </x:c>
      <x:c r="I3" s="12" t="str">
        <x:v>实际完成</x:v>
      </x:c>
      <x:c r="J3" s="12" t="str">
        <x:v>下一步</x:v>
      </x:c>
      <x:c r="K3" s="12" t="str">
        <x:v>交付物</x:v>
      </x:c>
      <x:c r="L3" s="12" t="str">
        <x:v>备注</x:v>
      </x:c>
    </x:row>
    <x:row r="4">
      <x:c r="A4" s="16" t="str">
        <x:v>S1-01</x:v>
      </x:c>
      <x:c r="B4" s="16" t="str">
        <x:v>阶段一：版本管理</x:v>
      </x:c>
      <x:c r="C4" s="16" t="str">
        <x:v>建立文献提取工程Git仓库</x:v>
      </x:c>
      <x:c r="D4" s="16" t="str">
        <x:v>Codex</x:v>
      </x:c>
      <x:c r="E4" s="16" t="str">
        <x:v>已完成</x:v>
      </x:c>
      <x:c r="F4" s="16" t="str">
        <x:v>P0</x:v>
      </x:c>
      <x:c r="G4" s="17" t="str">
        <x:v>2026-08-07</x:v>
      </x:c>
      <x:c r="H4" s="17" t="str">
        <x:v>2026-08-07</x:v>
      </x:c>
      <x:c r="I4" s="17" t="str">
        <x:v>2026-08-07</x:v>
      </x:c>
      <x:c r="J4" s="16" t="str">
        <x:v>保持工作区干净</x:v>
      </x:c>
      <x:c r="K4" s="16" t="str">
        <x:v>Git基线6977c62</x:v>
      </x:c>
      <x:c r="L4" s="16"/>
    </x:row>
    <x:row r="5">
      <x:c r="A5" s="16" t="str">
        <x:v>S1-02</x:v>
      </x:c>
      <x:c r="B5" s="16" t="str">
        <x:v>阶段一：版本管理</x:v>
      </x:c>
      <x:c r="C5" s="16" t="str">
        <x:v>添加.gitignore并排除临时文件</x:v>
      </x:c>
      <x:c r="D5" s="16" t="str">
        <x:v>Codex</x:v>
      </x:c>
      <x:c r="E5" s="16" t="str">
        <x:v>已完成</x:v>
      </x:c>
      <x:c r="F5" s="16" t="str">
        <x:v>P1</x:v>
      </x:c>
      <x:c r="G5" s="17" t="str">
        <x:v>2026-08-07</x:v>
      </x:c>
      <x:c r="H5" s="17" t="str">
        <x:v>2026-08-07</x:v>
      </x:c>
      <x:c r="I5" s="17" t="str">
        <x:v>2026-08-07</x:v>
      </x:c>
      <x:c r="J5" s="16" t="str">
        <x:v>随项目补充忽略规则</x:v>
      </x:c>
      <x:c r="K5" s="16" t="str">
        <x:v>.gitignore</x:v>
      </x:c>
      <x:c r="L5" s="16"/>
    </x:row>
    <x:row r="6">
      <x:c r="A6" s="16" t="str">
        <x:v>S1-03</x:v>
      </x:c>
      <x:c r="B6" s="16" t="str">
        <x:v>阶段一：版本管理</x:v>
      </x:c>
      <x:c r="C6" s="16" t="str">
        <x:v>复制青瓷平台为唐长安城独立平台</x:v>
      </x:c>
      <x:c r="D6" s="16" t="str">
        <x:v>Codex</x:v>
      </x:c>
      <x:c r="E6" s="16" t="str">
        <x:v>已完成</x:v>
      </x:c>
      <x:c r="F6" s="16" t="str">
        <x:v>P0</x:v>
      </x:c>
      <x:c r="G6" s="17" t="str">
        <x:v>2026-08-07</x:v>
      </x:c>
      <x:c r="H6" s="17" t="str">
        <x:v>2026-08-07</x:v>
      </x:c>
      <x:c r="I6" s="17" t="str">
        <x:v>2026-08-07</x:v>
      </x:c>
      <x:c r="J6" s="16" t="str">
        <x:v>保留青瓷原库不动</x:v>
      </x:c>
      <x:c r="K6" s="16" t="str">
        <x:v>tang-changan-knowledge-graph</x:v>
      </x:c>
      <x:c r="L6" s="16"/>
    </x:row>
    <x:row r="7">
      <x:c r="A7" s="16" t="str">
        <x:v>S1-04</x:v>
      </x:c>
      <x:c r="B7" s="16" t="str">
        <x:v>阶段一：版本管理</x:v>
      </x:c>
      <x:c r="C7" s="16" t="str">
        <x:v>建立新平台Git仓库</x:v>
      </x:c>
      <x:c r="D7" s="16" t="str">
        <x:v>Codex</x:v>
      </x:c>
      <x:c r="E7" s="16" t="str">
        <x:v>已完成</x:v>
      </x:c>
      <x:c r="F7" s="16" t="str">
        <x:v>P0</x:v>
      </x:c>
      <x:c r="G7" s="17" t="str">
        <x:v>2026-08-07</x:v>
      </x:c>
      <x:c r="H7" s="17" t="str">
        <x:v>2026-08-07</x:v>
      </x:c>
      <x:c r="I7" s="17" t="str">
        <x:v>2026-08-07</x:v>
      </x:c>
      <x:c r="J7" s="16" t="str">
        <x:v>远程上传前处理大型模拟数据</x:v>
      </x:c>
      <x:c r="K7" s="16" t="str">
        <x:v>Git基线2d6f9f7</x:v>
      </x:c>
      <x:c r="L7" s="16" t="str">
        <x:v>含超过100MB的青瓷模拟文件</x:v>
      </x:c>
    </x:row>
    <x:row r="8">
      <x:c r="A8" s="16" t="str">
        <x:v>S2-01</x:v>
      </x:c>
      <x:c r="B8" s="16" t="str">
        <x:v>阶段二：字段规范</x:v>
      </x:c>
      <x:c r="C8" s="16" t="str">
        <x:v>确定核心专题表公共字段</x:v>
      </x:c>
      <x:c r="D8" s="16" t="str">
        <x:v>共同</x:v>
      </x:c>
      <x:c r="E8" s="16" t="str">
        <x:v>已完成</x:v>
      </x:c>
      <x:c r="F8" s="16" t="str">
        <x:v>P0</x:v>
      </x:c>
      <x:c r="G8" s="17" t="str">
        <x:v>2026-08-07</x:v>
      </x:c>
      <x:c r="H8" s="17" t="str">
        <x:v>2026-08-07</x:v>
      </x:c>
      <x:c r="I8" s="17" t="str">
        <x:v>2026-08-07</x:v>
      </x:c>
      <x:c r="J8" s="16" t="str">
        <x:v>团队评审</x:v>
      </x:c>
      <x:c r="K8" s="16" t="str">
        <x:v>公共证据、审核、时期字段</x:v>
      </x:c>
      <x:c r="L8" s="16"/>
    </x:row>
    <x:row r="9">
      <x:c r="A9" s="16" t="str">
        <x:v>S2-02</x:v>
      </x:c>
      <x:c r="B9" s="16" t="str">
        <x:v>阶段二：字段规范</x:v>
      </x:c>
      <x:c r="C9" s="16" t="str">
        <x:v>确定统一编号规则</x:v>
      </x:c>
      <x:c r="D9" s="16" t="str">
        <x:v>共同</x:v>
      </x:c>
      <x:c r="E9" s="16" t="str">
        <x:v>已完成</x:v>
      </x:c>
      <x:c r="F9" s="16" t="str">
        <x:v>P0</x:v>
      </x:c>
      <x:c r="G9" s="17" t="str">
        <x:v>2026-08-07</x:v>
      </x:c>
      <x:c r="H9" s="17" t="str">
        <x:v>2026-08-07</x:v>
      </x:c>
      <x:c r="I9" s="17" t="str">
        <x:v>2026-08-07</x:v>
      </x:c>
      <x:c r="J9" s="16" t="str">
        <x:v>维护编号不重复</x:v>
      </x:c>
      <x:c r="K9" s="16" t="str">
        <x:v>TC-FANG/ROAD/CANAL/GATE/SCALE/RULE</x:v>
      </x:c>
      <x:c r="L9" s="16"/>
    </x:row>
    <x:row r="10">
      <x:c r="A10" s="16" t="str">
        <x:v>S2-03</x:v>
      </x:c>
      <x:c r="B10" s="16" t="str">
        <x:v>阶段二：字段规范</x:v>
      </x:c>
      <x:c r="C10" s="16" t="str">
        <x:v>生成阶段二v1录入模板</x:v>
      </x:c>
      <x:c r="D10" s="16" t="str">
        <x:v>Codex</x:v>
      </x:c>
      <x:c r="E10" s="16" t="str">
        <x:v>已完成</x:v>
      </x:c>
      <x:c r="F10" s="16" t="str">
        <x:v>P0</x:v>
      </x:c>
      <x:c r="G10" s="17" t="str">
        <x:v>2026-08-07</x:v>
      </x:c>
      <x:c r="H10" s="17" t="str">
        <x:v>2026-08-07</x:v>
      </x:c>
      <x:c r="I10" s="17" t="str">
        <x:v>2026-08-07</x:v>
      </x:c>
      <x:c r="J10" s="16" t="str">
        <x:v>团队试填</x:v>
      </x:c>
      <x:c r="K10" s="16" t="str">
        <x:v>12张工作表模板，Git 656647b</x:v>
      </x:c>
      <x:c r="L10" s="16"/>
    </x:row>
    <x:row r="11">
      <x:c r="A11" s="16" t="str">
        <x:v>S2-04</x:v>
      </x:c>
      <x:c r="B11" s="16" t="str">
        <x:v>阶段二：字段规范</x:v>
      </x:c>
      <x:c r="C11" s="16" t="str">
        <x:v>确认坊功能表专业字段</x:v>
      </x:c>
      <x:c r="D11" s="16" t="str">
        <x:v>同事</x:v>
      </x:c>
      <x:c r="E11" s="16" t="str">
        <x:v>等待确认</x:v>
      </x:c>
      <x:c r="F11" s="16" t="str">
        <x:v>P0</x:v>
      </x:c>
      <x:c r="G11" s="17"/>
      <x:c r="H11" s="17" t="str">
        <x:v>2026-08-12</x:v>
      </x:c>
      <x:c r="I11" s="17"/>
      <x:c r="J11" s="16" t="str">
        <x:v>组织字段评审</x:v>
      </x:c>
      <x:c r="K11" s="16" t="str">
        <x:v>坊功能表最终字段</x:v>
      </x:c>
      <x:c r="L11" s="16" t="str">
        <x:v>同事负责前三张表</x:v>
      </x:c>
    </x:row>
    <x:row r="12">
      <x:c r="A12" s="16" t="str">
        <x:v>S2-05</x:v>
      </x:c>
      <x:c r="B12" s="16" t="str">
        <x:v>阶段二：字段规范</x:v>
      </x:c>
      <x:c r="C12" s="16" t="str">
        <x:v>确认道路分级表专业字段</x:v>
      </x:c>
      <x:c r="D12" s="16" t="str">
        <x:v>同事</x:v>
      </x:c>
      <x:c r="E12" s="16" t="str">
        <x:v>等待确认</x:v>
      </x:c>
      <x:c r="F12" s="16" t="str">
        <x:v>P0</x:v>
      </x:c>
      <x:c r="G12" s="17"/>
      <x:c r="H12" s="17" t="str">
        <x:v>2026-08-12</x:v>
      </x:c>
      <x:c r="I12" s="17"/>
      <x:c r="J12" s="16" t="str">
        <x:v>组织字段评审</x:v>
      </x:c>
      <x:c r="K12" s="16" t="str">
        <x:v>道路分级表最终字段</x:v>
      </x:c>
      <x:c r="L12" s="16"/>
    </x:row>
    <x:row r="13">
      <x:c r="A13" s="16" t="str">
        <x:v>S2-06</x:v>
      </x:c>
      <x:c r="B13" s="16" t="str">
        <x:v>阶段二：字段规范</x:v>
      </x:c>
      <x:c r="C13" s="16" t="str">
        <x:v>确认水渠表专业字段</x:v>
      </x:c>
      <x:c r="D13" s="16" t="str">
        <x:v>同事</x:v>
      </x:c>
      <x:c r="E13" s="16" t="str">
        <x:v>等待确认</x:v>
      </x:c>
      <x:c r="F13" s="16" t="str">
        <x:v>P0</x:v>
      </x:c>
      <x:c r="G13" s="17"/>
      <x:c r="H13" s="17" t="str">
        <x:v>2026-08-12</x:v>
      </x:c>
      <x:c r="I13" s="17"/>
      <x:c r="J13" s="16" t="str">
        <x:v>组织字段评审</x:v>
      </x:c>
      <x:c r="K13" s="16" t="str">
        <x:v>水渠表最终字段</x:v>
      </x:c>
      <x:c r="L13" s="16"/>
    </x:row>
    <x:row r="14">
      <x:c r="A14" s="16" t="str">
        <x:v>S2-07</x:v>
      </x:c>
      <x:c r="B14" s="16" t="str">
        <x:v>阶段二：字段规范</x:v>
      </x:c>
      <x:c r="C14" s="16" t="str">
        <x:v>确认城门表专业字段</x:v>
      </x:c>
      <x:c r="D14" s="16" t="str">
        <x:v>我</x:v>
      </x:c>
      <x:c r="E14" s="16" t="str">
        <x:v>已完成</x:v>
      </x:c>
      <x:c r="F14" s="16" t="str">
        <x:v>P0</x:v>
      </x:c>
      <x:c r="G14" s="17" t="str">
        <x:v>2026-08-07</x:v>
      </x:c>
      <x:c r="H14" s="17" t="str">
        <x:v>2026-08-12</x:v>
      </x:c>
      <x:c r="I14" s="17" t="str">
        <x:v>2026-08-07</x:v>
      </x:c>
      <x:c r="J14" s="16" t="str">
        <x:v>参加六张表联合评审</x:v>
      </x:c>
      <x:c r="K14" s="16" t="str">
        <x:v>城门表最终字段</x:v>
      </x:c>
      <x:c r="L14" s="16"/>
    </x:row>
    <x:row r="15">
      <x:c r="A15" s="16" t="str">
        <x:v>S2-08</x:v>
      </x:c>
      <x:c r="B15" s="16" t="str">
        <x:v>阶段二：字段规范</x:v>
      </x:c>
      <x:c r="C15" s="16" t="str">
        <x:v>确认尺度关系表专业字段</x:v>
      </x:c>
      <x:c r="D15" s="16" t="str">
        <x:v>我</x:v>
      </x:c>
      <x:c r="E15" s="16" t="str">
        <x:v>已完成</x:v>
      </x:c>
      <x:c r="F15" s="16" t="str">
        <x:v>P0</x:v>
      </x:c>
      <x:c r="G15" s="17" t="str">
        <x:v>2026-08-07</x:v>
      </x:c>
      <x:c r="H15" s="17" t="str">
        <x:v>2026-08-12</x:v>
      </x:c>
      <x:c r="I15" s="17" t="str">
        <x:v>2026-08-07</x:v>
      </x:c>
      <x:c r="J15" s="16" t="str">
        <x:v>参加六张表联合评审</x:v>
      </x:c>
      <x:c r="K15" s="16" t="str">
        <x:v>尺度关系表最终字段</x:v>
      </x:c>
      <x:c r="L15" s="16"/>
    </x:row>
    <x:row r="16">
      <x:c r="A16" s="16" t="str">
        <x:v>S2-09</x:v>
      </x:c>
      <x:c r="B16" s="16" t="str">
        <x:v>阶段二：字段规范</x:v>
      </x:c>
      <x:c r="C16" s="16" t="str">
        <x:v>确认功能分区规则专业字段</x:v>
      </x:c>
      <x:c r="D16" s="16" t="str">
        <x:v>我</x:v>
      </x:c>
      <x:c r="E16" s="16" t="str">
        <x:v>已完成</x:v>
      </x:c>
      <x:c r="F16" s="16" t="str">
        <x:v>P0</x:v>
      </x:c>
      <x:c r="G16" s="17" t="str">
        <x:v>2026-08-07</x:v>
      </x:c>
      <x:c r="H16" s="17" t="str">
        <x:v>2026-08-12</x:v>
      </x:c>
      <x:c r="I16" s="17" t="str">
        <x:v>2026-08-07</x:v>
      </x:c>
      <x:c r="J16" s="16" t="str">
        <x:v>参加六张表联合评审</x:v>
      </x:c>
      <x:c r="K16" s="16" t="str">
        <x:v>功能分区规则最终字段</x:v>
      </x:c>
      <x:c r="L16" s="16"/>
    </x:row>
    <x:row r="17">
      <x:c r="A17" s="16" t="str">
        <x:v>S2-10</x:v>
      </x:c>
      <x:c r="B17" s="16" t="str">
        <x:v>阶段二：字段规范</x:v>
      </x:c>
      <x:c r="C17" s="16" t="str">
        <x:v>确定专题表转实体表/关系表规则</x:v>
      </x:c>
      <x:c r="D17" s="16" t="str">
        <x:v>共同</x:v>
      </x:c>
      <x:c r="E17" s="16" t="str">
        <x:v>已完成</x:v>
      </x:c>
      <x:c r="F17" s="16" t="str">
        <x:v>P0</x:v>
      </x:c>
      <x:c r="G17" s="17" t="str">
        <x:v>2026-08-07</x:v>
      </x:c>
      <x:c r="H17" s="17" t="str">
        <x:v>2026-08-14</x:v>
      </x:c>
      <x:c r="I17" s="17" t="str">
        <x:v>2026-08-07</x:v>
      </x:c>
      <x:c r="J17" s="16" t="str">
        <x:v>后续编写并测试转换脚本</x:v>
      </x:c>
      <x:c r="K17" s="16" t="str">
        <x:v>转换规则表v1、坊间空间关系表</x:v>
      </x:c>
      <x:c r="L17" s="16" t="str">
        <x:v>专题表作为录入入口，自动生成通用实体/关系</x:v>
      </x:c>
    </x:row>
    <x:row r="18">
      <x:c r="A18" s="16" t="str">
        <x:v>S2-11</x:v>
      </x:c>
      <x:c r="B18" s="16" t="str">
        <x:v>阶段二：字段规范</x:v>
      </x:c>
      <x:c r="C18" s="16" t="str">
        <x:v>召开专题表字段联合评审</x:v>
      </x:c>
      <x:c r="D18" s="16" t="str">
        <x:v>共同</x:v>
      </x:c>
      <x:c r="E18" s="16" t="str">
        <x:v>尚未开始</x:v>
      </x:c>
      <x:c r="F18" s="16" t="str">
        <x:v>P0</x:v>
      </x:c>
      <x:c r="G18" s="17"/>
      <x:c r="H18" s="17" t="str">
        <x:v>2026-08-14</x:v>
      </x:c>
      <x:c r="I18" s="17"/>
      <x:c r="J18" s="16" t="str">
        <x:v>约定评审时间</x:v>
      </x:c>
      <x:c r="K18" s="16" t="str">
        <x:v>评审记录</x:v>
      </x:c>
      <x:c r="L18" s="16"/>
    </x:row>
    <x:row r="19">
      <x:c r="A19" s="16" t="str">
        <x:v>S2-12</x:v>
      </x:c>
      <x:c r="B19" s="16" t="str">
        <x:v>阶段二：字段规范</x:v>
      </x:c>
      <x:c r="C19" s="16" t="str">
        <x:v>冻结核心专题表字段规范v1</x:v>
      </x:c>
      <x:c r="D19" s="16" t="str">
        <x:v>共同</x:v>
      </x:c>
      <x:c r="E19" s="16" t="str">
        <x:v>尚未开始</x:v>
      </x:c>
      <x:c r="F19" s="16" t="str">
        <x:v>P0</x:v>
      </x:c>
      <x:c r="G19" s="17"/>
      <x:c r="H19" s="17" t="str">
        <x:v>2026-08-15</x:v>
      </x:c>
      <x:c r="I19" s="17"/>
      <x:c r="J19" s="16" t="str">
        <x:v>评审通过后Git存档</x:v>
      </x:c>
      <x:c r="K19" s="16" t="str">
        <x:v>字段规范v1</x:v>
      </x:c>
      <x:c r="L19" s="16"/>
    </x:row>
    <x:row r="20">
      <x:c r="A20" s="16" t="str">
        <x:v>S2-13</x:v>
      </x:c>
      <x:c r="B20" s="16" t="str">
        <x:v>阶段二：字段规范</x:v>
      </x:c>
      <x:c r="C20" s="16" t="str">
        <x:v>建立坊内平面规则表占位字段</x:v>
      </x:c>
      <x:c r="D20" s="16" t="str">
        <x:v>Codex</x:v>
      </x:c>
      <x:c r="E20" s="16" t="str">
        <x:v>已完成</x:v>
      </x:c>
      <x:c r="F20" s="16" t="str">
        <x:v>P1</x:v>
      </x:c>
      <x:c r="G20" s="17" t="str">
        <x:v>2026-08-09</x:v>
      </x:c>
      <x:c r="H20" s="17" t="str">
        <x:v>2026-08-09</x:v>
      </x:c>
      <x:c r="I20" s="17" t="str">
        <x:v>2026-08-09</x:v>
      </x:c>
      <x:c r="J20" s="16" t="str">
        <x:v>用论文样例确认字段</x:v>
      </x:c>
      <x:c r="K20" s="16"/>
      <x:c r="L20" s="16"/>
    </x:row>
    <x:row r="21">
      <x:c r="A21" s="16" t="str">
        <x:v>S2-14</x:v>
      </x:c>
      <x:c r="B21" s="16" t="str">
        <x:v>阶段二：字段规范</x:v>
      </x:c>
      <x:c r="C21" s="16" t="str">
        <x:v>建立研究结论表及转换框架</x:v>
      </x:c>
      <x:c r="D21" s="16" t="str">
        <x:v>Codex</x:v>
      </x:c>
      <x:c r="E21" s="16" t="str">
        <x:v>已完成</x:v>
      </x:c>
      <x:c r="F21" s="16" t="str">
        <x:v>P1</x:v>
      </x:c>
      <x:c r="G21" s="17" t="str">
        <x:v>2026-08-09</x:v>
      </x:c>
      <x:c r="H21" s="17" t="str">
        <x:v>2026-08-09</x:v>
      </x:c>
      <x:c r="I21" s="17" t="str">
        <x:v>2026-08-09</x:v>
      </x:c>
      <x:c r="J21" s="16" t="str">
        <x:v>试录专项研究论文</x:v>
      </x:c>
      <x:c r="K21" s="16"/>
      <x:c r="L21" s="16"/>
    </x:row>
    <x:row r="22">
      <x:c r="A22" s="16" t="str">
        <x:v>S2-15</x:v>
      </x:c>
      <x:c r="B22" s="16" t="str">
        <x:v>阶段二：字段规范</x:v>
      </x:c>
      <x:c r="C22" s="16" t="str">
        <x:v>根据论文样例确认两张新增表字段</x:v>
      </x:c>
      <x:c r="D22" s="16" t="str">
        <x:v>共同</x:v>
      </x:c>
      <x:c r="E22" s="16" t="str">
        <x:v>进行中</x:v>
      </x:c>
      <x:c r="F22" s="16" t="str">
        <x:v>P1</x:v>
      </x:c>
      <x:c r="G22" s="17" t="str">
        <x:v>2026-08-09</x:v>
      </x:c>
      <x:c r="H22" s="17"/>
      <x:c r="I22" s="17"/>
      <x:c r="J22" s="16" t="str">
        <x:v>在小型样例表完成三篇核心论文字段评估，再决定是否转入正式模板</x:v>
      </x:c>
      <x:c r="K22" s="16" t="str">
        <x:v>小型样例_第1批_文献片段与基础对象_v1.xlsx</x:v>
      </x:c>
      <x:c r="L22" s="16" t="str">
        <x:v>正式模板恢复为结构与非论文试录数据；论文试录统一在样例表迭代</x:v>
      </x:c>
    </x:row>
    <x:row r="23">
      <x:c r="A23" s="16" t="str">
        <x:v>S3-01</x:v>
      </x:c>
      <x:c r="B23" s="16" t="str">
        <x:v>阶段三：文献建设</x:v>
      </x:c>
      <x:c r="C23" s="16" t="str">
        <x:v>盘点现有文献并分配TC-REF编号</x:v>
      </x:c>
      <x:c r="D23" s="16" t="str">
        <x:v>我</x:v>
      </x:c>
      <x:c r="E23" s="16" t="str">
        <x:v>进行中</x:v>
      </x:c>
      <x:c r="F23" s="16" t="str">
        <x:v>P1</x:v>
      </x:c>
      <x:c r="G23" s="17" t="str">
        <x:v>2026-08-07</x:v>
      </x:c>
      <x:c r="H23" s="17"/>
      <x:c r="I23" s="17"/>
      <x:c r="J23" s="16" t="str">
        <x:v>核对3份现有文献并补齐来源编号</x:v>
      </x:c>
      <x:c r="K23" s="16" t="str">
        <x:v>小型样例文献选择方案v1</x:v>
      </x:c>
      <x:c r="L23" s="16" t="str">
        <x:v>已完成初选，待正式登记来源表</x:v>
      </x:c>
    </x:row>
    <x:row r="24">
      <x:c r="A24" s="16" t="str">
        <x:v>S3-02</x:v>
      </x:c>
      <x:c r="B24" s="16" t="str">
        <x:v>阶段三：文献建设</x:v>
      </x:c>
      <x:c r="C24" s="16" t="str">
        <x:v>建立专题数据缺失文献需求表</x:v>
      </x:c>
      <x:c r="D24" s="16" t="str">
        <x:v>共同</x:v>
      </x:c>
      <x:c r="E24" s="16" t="str">
        <x:v>进行中</x:v>
      </x:c>
      <x:c r="F24" s="16" t="str">
        <x:v>P1</x:v>
      </x:c>
      <x:c r="G24" s="17" t="str">
        <x:v>2026-08-07</x:v>
      </x:c>
      <x:c r="H24" s="17"/>
      <x:c r="I24" s="17"/>
      <x:c r="J24" s="16" t="str">
        <x:v>确认考古、尺度、水系资料的取得顺序</x:v>
      </x:c>
      <x:c r="K24" s="16" t="str">
        <x:v>初步文献缺口与优先级</x:v>
      </x:c>
      <x:c r="L24" s="16" t="str">
        <x:v>优先取得《隋唐长安城遗址·考古资料编》</x:v>
      </x:c>
    </x:row>
    <x:row r="25">
      <x:c r="A25" s="16" t="str">
        <x:v>S3-03</x:v>
      </x:c>
      <x:c r="B25" s="16" t="str">
        <x:v>阶段三：文献建设</x:v>
      </x:c>
      <x:c r="C25" s="16" t="str">
        <x:v>补充城门、道路、水渠考古资料</x:v>
      </x:c>
      <x:c r="D25" s="16" t="str">
        <x:v>共同</x:v>
      </x:c>
      <x:c r="E25" s="16" t="str">
        <x:v>尚未开始</x:v>
      </x:c>
      <x:c r="F25" s="16" t="str">
        <x:v>P1</x:v>
      </x:c>
      <x:c r="G25" s="17"/>
      <x:c r="H25" s="17"/>
      <x:c r="I25" s="17"/>
      <x:c r="J25" s="16" t="str">
        <x:v>优先权威考古报告</x:v>
      </x:c>
      <x:c r="K25" s="16" t="str">
        <x:v>新增文献</x:v>
      </x:c>
      <x:c r="L25" s="16"/>
    </x:row>
    <x:row r="26">
      <x:c r="A26" s="16" t="str">
        <x:v>S3-04</x:v>
      </x:c>
      <x:c r="B26" s="16" t="str">
        <x:v>阶段三：文献建设</x:v>
      </x:c>
      <x:c r="C26" s="16" t="str">
        <x:v>补充度量衡、复原图和GIS资料</x:v>
      </x:c>
      <x:c r="D26" s="16" t="str">
        <x:v>我</x:v>
      </x:c>
      <x:c r="E26" s="16" t="str">
        <x:v>尚未开始</x:v>
      </x:c>
      <x:c r="F26" s="16" t="str">
        <x:v>P1</x:v>
      </x:c>
      <x:c r="G26" s="17"/>
      <x:c r="H26" s="17"/>
      <x:c r="I26" s="17"/>
      <x:c r="J26" s="16" t="str">
        <x:v>用于尺度和坐标</x:v>
      </x:c>
      <x:c r="K26" s="16" t="str">
        <x:v>新增文献</x:v>
      </x:c>
      <x:c r="L26" s="16"/>
    </x:row>
    <x:row r="27">
      <x:c r="A27" s="16" t="str">
        <x:v>S3-05</x:v>
      </x:c>
      <x:c r="B27" s="16" t="str">
        <x:v>阶段三：文献建设</x:v>
      </x:c>
      <x:c r="C27" s="16" t="str">
        <x:v>建立文献质量等级A-D</x:v>
      </x:c>
      <x:c r="D27" s="16" t="str">
        <x:v>共同</x:v>
      </x:c>
      <x:c r="E27" s="16" t="str">
        <x:v>尚未开始</x:v>
      </x:c>
      <x:c r="F27" s="16" t="str">
        <x:v>P2</x:v>
      </x:c>
      <x:c r="G27" s="17"/>
      <x:c r="H27" s="17"/>
      <x:c r="I27" s="17"/>
      <x:c r="J27" s="16" t="str">
        <x:v>明确可用于坐标和尺度的来源</x:v>
      </x:c>
      <x:c r="K27" s="16" t="str">
        <x:v>质量分级规则</x:v>
      </x:c>
      <x:c r="L27" s="16"/>
    </x:row>
    <x:row r="28">
      <x:c r="A28" s="16" t="str">
        <x:v>S4-01</x:v>
      </x:c>
      <x:c r="B28" s="16" t="str">
        <x:v>阶段四：小型样例</x:v>
      </x:c>
      <x:c r="C28" s="16" t="str">
        <x:v>选择5坊、3道路、2水渠、5城门</x:v>
      </x:c>
      <x:c r="D28" s="16" t="str">
        <x:v>共同</x:v>
      </x:c>
      <x:c r="E28" s="16" t="str">
        <x:v>进行中</x:v>
      </x:c>
      <x:c r="F28" s="16" t="str">
        <x:v>P1</x:v>
      </x:c>
      <x:c r="G28" s="17" t="str">
        <x:v>2026-08-07</x:v>
      </x:c>
      <x:c r="H28" s="17"/>
      <x:c r="I28" s="17"/>
      <x:c r="J28" s="16" t="str">
        <x:v>继续补齐5坊样例</x:v>
      </x:c>
      <x:c r="K28" s="16" t="str">
        <x:v>第一批基础对象已录入</x:v>
      </x:c>
      <x:c r="L28" s="16"/>
    </x:row>
    <x:row r="29">
      <x:c r="A29" s="16" t="str">
        <x:v>S4-02</x:v>
      </x:c>
      <x:c r="B29" s="16" t="str">
        <x:v>阶段四：小型样例</x:v>
      </x:c>
      <x:c r="C29" s="16" t="str">
        <x:v>制作3组尺度比较和3条功能规则</x:v>
      </x:c>
      <x:c r="D29" s="16" t="str">
        <x:v>我</x:v>
      </x:c>
      <x:c r="E29" s="16" t="str">
        <x:v>进行中</x:v>
      </x:c>
      <x:c r="F29" s="16" t="str">
        <x:v>P1</x:v>
      </x:c>
      <x:c r="G29" s="17" t="str">
        <x:v>2026-08-07</x:v>
      </x:c>
      <x:c r="H29" s="17"/>
      <x:c r="I29" s="17"/>
      <x:c r="J29" s="16" t="str">
        <x:v>补充2组尺度和2条规则</x:v>
      </x:c>
      <x:c r="K29" s="16" t="str">
        <x:v>1组尺度、1条候选规则</x:v>
      </x:c>
      <x:c r="L29" s="16"/>
    </x:row>
    <x:row r="30">
      <x:c r="A30" s="16" t="str">
        <x:v>S4-03</x:v>
      </x:c>
      <x:c r="B30" s="16" t="str">
        <x:v>阶段四：小型样例</x:v>
      </x:c>
      <x:c r="C30" s="16" t="str">
        <x:v>完成专题样例表</x:v>
      </x:c>
      <x:c r="D30" s="16" t="str">
        <x:v>共同</x:v>
      </x:c>
      <x:c r="E30" s="16" t="str">
        <x:v>进行中</x:v>
      </x:c>
      <x:c r="F30" s="16" t="str">
        <x:v>P1</x:v>
      </x:c>
      <x:c r="G30" s="17" t="str">
        <x:v>2026-08-07</x:v>
      </x:c>
      <x:c r="H30" s="17"/>
      <x:c r="I30" s="17"/>
      <x:c r="J30" s="16" t="str">
        <x:v>继续填写坊功能与坊间空间关系</x:v>
      </x:c>
      <x:c r="K30" s="16" t="str">
        <x:v>第1批小样例工作簿</x:v>
      </x:c>
      <x:c r="L30" s="16"/>
    </x:row>
    <x:row r="31">
      <x:c r="A31" s="16" t="str">
        <x:v>S4-04</x:v>
      </x:c>
      <x:c r="B31" s="16" t="str">
        <x:v>阶段四：小型样例</x:v>
      </x:c>
      <x:c r="C31" s="16" t="str">
        <x:v>审核编号、来源、单位、坐标和推导</x:v>
      </x:c>
      <x:c r="D31" s="16" t="str">
        <x:v>共同</x:v>
      </x:c>
      <x:c r="E31" s="16" t="str">
        <x:v>尚未开始</x:v>
      </x:c>
      <x:c r="F31" s="16" t="str">
        <x:v>P0</x:v>
      </x:c>
      <x:c r="G31" s="17"/>
      <x:c r="H31" s="17"/>
      <x:c r="I31" s="17"/>
      <x:c r="J31" s="16" t="str">
        <x:v>逐条审核</x:v>
      </x:c>
      <x:c r="K31" s="16" t="str">
        <x:v>样例审核记录</x:v>
      </x:c>
      <x:c r="L31" s="16"/>
    </x:row>
    <x:row r="32">
      <x:c r="A32" s="16" t="str">
        <x:v>S4-05</x:v>
      </x:c>
      <x:c r="B32" s="16" t="str">
        <x:v>阶段四：小型样例</x:v>
      </x:c>
      <x:c r="C32" s="16" t="str">
        <x:v>试做首条科普内容及证据回溯闭环</x:v>
      </x:c>
      <x:c r="D32" s="16" t="str">
        <x:v>共同</x:v>
      </x:c>
      <x:c r="E32" s="16" t="str">
        <x:v>等待确认</x:v>
      </x:c>
      <x:c r="F32" s="16" t="str">
        <x:v>P0</x:v>
      </x:c>
      <x:c r="G32" s="17" t="n">
        <x:v>46245</x:v>
      </x:c>
      <x:c r="H32" s="17"/>
      <x:c r="I32" s="17"/>
      <x:c r="J32" s="16" t="str">
        <x:v>审核科普文字和7条依据关联</x:v>
      </x:c>
      <x:c r="K32" s="16" t="str">
        <x:v>TC-POPULAR-0001及TC-POPLINK-0001—0007</x:v>
      </x:c>
      <x:c r="L32" s="16" t="str">
        <x:v>样例只录入小型样例表，不进入空白正式模板</x:v>
      </x:c>
    </x:row>
    <x:row r="33">
      <x:c r="A33" s="16" t="str">
        <x:v>S5-01</x:v>
      </x:c>
      <x:c r="B33" s="16" t="str">
        <x:v>阶段五：Skill升级</x:v>
      </x:c>
      <x:c r="C33" s="16" t="str">
        <x:v>升级提取Skill支持专题表</x:v>
      </x:c>
      <x:c r="D33" s="16" t="str">
        <x:v>Codex</x:v>
      </x:c>
      <x:c r="E33" s="16" t="str">
        <x:v>已完成</x:v>
      </x:c>
      <x:c r="F33" s="16" t="str">
        <x:v>P1</x:v>
      </x:c>
      <x:c r="G33" s="17" t="str">
        <x:v>2026-08-12</x:v>
      </x:c>
      <x:c r="H33" s="17" t="str">
        <x:v>2026-08-12</x:v>
      </x:c>
      <x:c r="I33" s="17" t="str">
        <x:v>2026-08-12</x:v>
      </x:c>
      <x:c r="J33" s="16" t="str">
        <x:v>以Skill v2执行下一批全量提取</x:v>
      </x:c>
      <x:c r="K33" s="16" t="str">
        <x:v>knowledge-graph-extraction v3</x:v>
      </x:c>
      <x:c r="L33" s="16" t="str">
        <x:v>已加入按文献分工、专题复核、编号段管理、集中合并规范及三份配套资产</x:v>
      </x:c>
    </x:row>
    <x:row r="34">
      <x:c r="A34" s="16" t="str">
        <x:v>S5-02</x:v>
      </x:c>
      <x:c r="B34" s="16" t="str">
        <x:v>阶段五：Skill升级</x:v>
      </x:c>
      <x:c r="C34" s="16" t="str">
        <x:v>加入定量、单位、坐标和规则提取规范</x:v>
      </x:c>
      <x:c r="D34" s="16" t="str">
        <x:v>Codex</x:v>
      </x:c>
      <x:c r="E34" s="16" t="str">
        <x:v>已完成</x:v>
      </x:c>
      <x:c r="F34" s="16" t="str">
        <x:v>P1</x:v>
      </x:c>
      <x:c r="G34" s="17" t="str">
        <x:v>2026-08-12</x:v>
      </x:c>
      <x:c r="H34" s="17" t="str">
        <x:v>2026-08-12</x:v>
      </x:c>
      <x:c r="I34" s="17" t="str">
        <x:v>2026-08-12</x:v>
      </x:c>
      <x:c r="J34" s="16" t="str">
        <x:v>全量提取时继续检查单位换算与坐标依据</x:v>
      </x:c>
      <x:c r="K34" s="16" t="str">
        <x:v>Skill v2 data-model / quality-and-release</x:v>
      </x:c>
      <x:c r="L34" s="16" t="str">
        <x:v>已固化坐标、双边界道路、尺度与推论分层规则</x:v>
      </x:c>
    </x:row>
    <x:row r="35">
      <x:c r="A35" s="16" t="str">
        <x:v>S5-03</x:v>
      </x:c>
      <x:c r="B35" s="16" t="str">
        <x:v>阶段五：Skill升级</x:v>
      </x:c>
      <x:c r="C35" s="16" t="str">
        <x:v>使用小型样例测试Skill</x:v>
      </x:c>
      <x:c r="D35" s="16" t="str">
        <x:v>Codex</x:v>
      </x:c>
      <x:c r="E35" s="16" t="str">
        <x:v>已完成</x:v>
      </x:c>
      <x:c r="F35" s="16" t="str">
        <x:v>P1</x:v>
      </x:c>
      <x:c r="G35" s="17" t="str">
        <x:v>2026-08-12</x:v>
      </x:c>
      <x:c r="H35" s="17" t="str">
        <x:v>2026-08-12</x:v>
      </x:c>
      <x:c r="I35" s="17" t="str">
        <x:v>2026-08-12</x:v>
      </x:c>
      <x:c r="J35" s="16" t="str">
        <x:v>用下一篇论文做首次真实批次测试</x:v>
      </x:c>
      <x:c r="K35" s="16" t="str">
        <x:v>v9回归基线 / Skill v2压缩包</x:v>
      </x:c>
      <x:c r="L35" s="16" t="str">
        <x:v>v9为7来源/32片段/59实体/77关系；0错误、0警告</x:v>
      </x:c>
    </x:row>
    <x:row r="36">
      <x:c r="A36" s="16" t="str">
        <x:v>S6-01</x:v>
      </x:c>
      <x:c r="B36" s="16" t="str">
        <x:v>阶段六：平台迁移</x:v>
      </x:c>
      <x:c r="C36" s="16" t="str">
        <x:v>清理新平台青瓷模拟数据和文案</x:v>
      </x:c>
      <x:c r="D36" s="16" t="str">
        <x:v>Codex</x:v>
      </x:c>
      <x:c r="E36" s="16" t="str">
        <x:v>尚未开始</x:v>
      </x:c>
      <x:c r="F36" s="16" t="str">
        <x:v>P1</x:v>
      </x:c>
      <x:c r="G36" s="17"/>
      <x:c r="H36" s="17"/>
      <x:c r="I36" s="17"/>
      <x:c r="J36" s="16" t="str">
        <x:v>唐长安小样例验收后再清理</x:v>
      </x:c>
      <x:c r="K36" s="16" t="str">
        <x:v>唐长安城平台基线</x:v>
      </x:c>
      <x:c r="L36" s="16" t="str">
        <x:v>清理顺序调整：先导入验证，后删除青瓷演示数据</x:v>
      </x:c>
    </x:row>
    <x:row r="37">
      <x:c r="A37" s="16" t="str">
        <x:v>S6-02</x:v>
      </x:c>
      <x:c r="B37" s="16" t="str">
        <x:v>阶段六：平台迁移</x:v>
      </x:c>
      <x:c r="C37" s="16" t="str">
        <x:v>更新唐长安城实体与关系Schema</x:v>
      </x:c>
      <x:c r="D37" s="16" t="str">
        <x:v>Codex</x:v>
      </x:c>
      <x:c r="E37" s="16" t="str">
        <x:v>尚未开始</x:v>
      </x:c>
      <x:c r="F37" s="16" t="str">
        <x:v>P1</x:v>
      </x:c>
      <x:c r="G37" s="17"/>
      <x:c r="H37" s="17"/>
      <x:c r="I37" s="17"/>
      <x:c r="J37" s="16" t="str">
        <x:v>依据字段规范</x:v>
      </x:c>
      <x:c r="K37" s="16" t="str">
        <x:v>JSON Schema</x:v>
      </x:c>
      <x:c r="L37" s="16"/>
    </x:row>
    <x:row r="38">
      <x:c r="A38" s="16" t="str">
        <x:v>S6-03</x:v>
      </x:c>
      <x:c r="B38" s="16" t="str">
        <x:v>阶段六：平台迁移</x:v>
      </x:c>
      <x:c r="C38" s="16" t="str">
        <x:v>编写专题表到实体/关系转换脚本</x:v>
      </x:c>
      <x:c r="D38" s="16" t="str">
        <x:v>Codex</x:v>
      </x:c>
      <x:c r="E38" s="16" t="str">
        <x:v>已完成</x:v>
      </x:c>
      <x:c r="F38" s="16" t="str">
        <x:v>P0</x:v>
      </x:c>
      <x:c r="G38" s="17" t="str">
        <x:v>2026-08-12</x:v>
      </x:c>
      <x:c r="H38" s="17" t="str">
        <x:v>2026-08-12</x:v>
      </x:c>
      <x:c r="I38" s="17" t="str">
        <x:v>2026-08-12</x:v>
      </x:c>
      <x:c r="J38" s="16" t="str">
        <x:v>转换程序随字段规范和Skill继续维护</x:v>
      </x:c>
      <x:c r="K38" s="16" t="str">
        <x:v>转换程序 / 平台导入包v2</x:v>
      </x:c>
      <x:c r="L38" s="16" t="str">
        <x:v>默认工作版本已切换为小型样例v6</x:v>
      </x:c>
    </x:row>
    <x:row r="39">
      <x:c r="A39" s="16" t="str">
        <x:v>S6-04</x:v>
      </x:c>
      <x:c r="B39" s="16" t="str">
        <x:v>阶段六：平台迁移</x:v>
      </x:c>
      <x:c r="C39" s="16" t="str">
        <x:v>导入样例并验证检索、图谱和AI问答</x:v>
      </x:c>
      <x:c r="D39" s="16" t="str">
        <x:v>共同</x:v>
      </x:c>
      <x:c r="E39" s="16" t="str">
        <x:v>已完成</x:v>
      </x:c>
      <x:c r="F39" s="16" t="str">
        <x:v>P0</x:v>
      </x:c>
      <x:c r="G39" s="17" t="str">
        <x:v>2026-08-12</x:v>
      </x:c>
      <x:c r="H39" s="17" t="str">
        <x:v>2026-08-12</x:v>
      </x:c>
      <x:c r="I39" s="17" t="str">
        <x:v>2026-08-12</x:v>
      </x:c>
      <x:c r="J39" s="16" t="str">
        <x:v>继续按审核批次执行正式迁移</x:v>
      </x:c>
      <x:c r="K39" s="16" t="str">
        <x:v>第三批平台发布与网页验收报告v1</x:v>
      </x:c>
      <x:c r="L39" s="16" t="str">
        <x:v>检索、图谱、证据片段和发布依赖均通过</x:v>
      </x:c>
    </x:row>
    <x:row r="40">
      <x:c r="A40" s="16" t="str">
        <x:v>S6-05</x:v>
      </x:c>
      <x:c r="B40" s="16" t="str">
        <x:v>阶段六：平台迁移</x:v>
      </x:c>
      <x:c r="C40" s="16" t="str">
        <x:v>盘点青瓷平台并形成唐长安迁移清单</x:v>
      </x:c>
      <x:c r="D40" s="16" t="str">
        <x:v>Codex</x:v>
      </x:c>
      <x:c r="E40" s="16" t="str">
        <x:v>已完成</x:v>
      </x:c>
      <x:c r="F40" s="16" t="str">
        <x:v>P0</x:v>
      </x:c>
      <x:c r="G40" s="17" t="n">
        <x:v>46245</x:v>
      </x:c>
      <x:c r="H40" s="17" t="n">
        <x:v>46245</x:v>
      </x:c>
      <x:c r="I40" s="17" t="n">
        <x:v>46245</x:v>
      </x:c>
      <x:c r="J40" s="16" t="str">
        <x:v>确定唐长安平台数据契约v1</x:v>
      </x:c>
      <x:c r="K40" s="16" t="str">
        <x:v>唐长安城平台迁移盘点与实施清单_v1.md</x:v>
      </x:c>
      <x:c r="L40" s="16" t="str">
        <x:v>只读检查；未修改平台代码和演示数据</x:v>
      </x:c>
    </x:row>
    <x:row r="41">
      <x:c r="A41" s="16" t="str">
        <x:v>S6-06</x:v>
      </x:c>
      <x:c r="B41" s="16" t="str">
        <x:v>阶段六：平台迁移</x:v>
      </x:c>
      <x:c r="C41" s="16" t="str">
        <x:v>制定唐长安平台数据契约v1</x:v>
      </x:c>
      <x:c r="D41" s="16" t="str">
        <x:v>Codex</x:v>
      </x:c>
      <x:c r="E41" s="16" t="str">
        <x:v>已完成</x:v>
      </x:c>
      <x:c r="F41" s="16" t="str">
        <x:v>P0</x:v>
      </x:c>
      <x:c r="G41" s="17" t="n">
        <x:v>46245</x:v>
      </x:c>
      <x:c r="H41" s="17" t="n">
        <x:v>46245</x:v>
      </x:c>
      <x:c r="I41" s="17" t="n">
        <x:v>46245</x:v>
      </x:c>
      <x:c r="J41" s="16" t="str">
        <x:v>编写小型样例Excel转换程序</x:v>
      </x:c>
      <x:c r="K41" s="16" t="str">
        <x:v>平台数据契约v1 / 导入包结构示例v1</x:v>
      </x:c>
      <x:c r="L41" s="16" t="str">
        <x:v>兼容现有四类核心表；小样例先行</x:v>
      </x:c>
    </x:row>
    <x:row r="42">
      <x:c r="A42" s="16" t="str">
        <x:v>S6-07</x:v>
      </x:c>
      <x:c r="B42" s="16" t="str">
        <x:v>阶段六：平台迁移</x:v>
      </x:c>
      <x:c r="C42" s="16" t="str">
        <x:v>编写小型样例转换程序并生成首个导入包</x:v>
      </x:c>
      <x:c r="D42" s="16" t="str">
        <x:v>Codex</x:v>
      </x:c>
      <x:c r="E42" s="16" t="str">
        <x:v>已完成</x:v>
      </x:c>
      <x:c r="F42" s="16" t="str">
        <x:v>P0</x:v>
      </x:c>
      <x:c r="G42" s="17" t="n">
        <x:v>46245</x:v>
      </x:c>
      <x:c r="H42" s="17" t="n">
        <x:v>46245</x:v>
      </x:c>
      <x:c r="I42" s="17" t="n">
        <x:v>46245</x:v>
      </x:c>
      <x:c r="J42" s="16" t="str">
        <x:v>人工复核导入包和校验报告</x:v>
      </x:c>
      <x:c r="K42" s="16" t="str">
        <x:v>6来源 / 29片段 / 47实体 / 32关系</x:v>
      </x:c>
      <x:c r="L42" s="16" t="str">
        <x:v>0错误、0警告、0悬空关系；未写入数据库</x:v>
      </x:c>
    </x:row>
    <x:row r="43">
      <x:c r="A43" s="16" t="str">
        <x:v>S6-08</x:v>
      </x:c>
      <x:c r="B43" s="16" t="str">
        <x:v>阶段六：平台迁移</x:v>
      </x:c>
      <x:c r="C43" s="16" t="str">
        <x:v>人工复核首个平台导入包</x:v>
      </x:c>
      <x:c r="D43" s="16" t="str">
        <x:v>Codex</x:v>
      </x:c>
      <x:c r="E43" s="16" t="str">
        <x:v>已完成</x:v>
      </x:c>
      <x:c r="F43" s="16" t="str">
        <x:v>P0</x:v>
      </x:c>
      <x:c r="G43" s="17" t="n">
        <x:v>46245</x:v>
      </x:c>
      <x:c r="H43" s="17" t="n">
        <x:v>46245</x:v>
      </x:c>
      <x:c r="I43" s="17" t="n">
        <x:v>46245</x:v>
      </x:c>
      <x:c r="J43" s="16" t="str">
        <x:v>修正MR-001—MR-007后重新生成导入包</x:v>
      </x:c>
      <x:c r="K43" s="16" t="str">
        <x:v>人工复核报告v1 / 7项问题</x:v>
      </x:c>
      <x:c r="L43" s="16" t="str">
        <x:v>人工复核退回：2项P0、5项P1；尚未导入数据库</x:v>
      </x:c>
    </x:row>
    <x:row r="44">
      <x:c r="A44" s="16" t="str">
        <x:v>S6-09</x:v>
      </x:c>
      <x:c r="B44" s="16" t="str">
        <x:v>阶段六：平台迁移</x:v>
      </x:c>
      <x:c r="C44" s="16" t="str">
        <x:v>修正人工复核问题并完成第二轮复核</x:v>
      </x:c>
      <x:c r="D44" s="16" t="str">
        <x:v>Codex</x:v>
      </x:c>
      <x:c r="E44" s="16" t="str">
        <x:v>已完成</x:v>
      </x:c>
      <x:c r="F44" s="16" t="str">
        <x:v>P0</x:v>
      </x:c>
      <x:c r="G44" s="17" t="n">
        <x:v>46245</x:v>
      </x:c>
      <x:c r="H44" s="17" t="n">
        <x:v>46245</x:v>
      </x:c>
      <x:c r="I44" s="17" t="n">
        <x:v>46245</x:v>
      </x:c>
      <x:c r="J44" s="16" t="str">
        <x:v>确认测试环境后执行首次数据库导入</x:v>
      </x:c>
      <x:c r="K44" s="16" t="str">
        <x:v>小型样例v2 / 人工复核报告v2</x:v>
      </x:c>
      <x:c r="L44" s="16" t="str">
        <x:v>MR-001—MR-007全部关闭；0错误、0警告；允许测试导入</x:v>
      </x:c>
    </x:row>
    <x:row r="45">
      <x:c r="A45" s="16" t="str">
        <x:v>S6-10</x:v>
      </x:c>
      <x:c r="B45" s="16" t="str">
        <x:v>阶段六：平台迁移</x:v>
      </x:c>
      <x:c r="C45" s="16" t="str">
        <x:v>修正TC-CHUNK-1102与坊内规则的证据连接</x:v>
      </x:c>
      <x:c r="D45" s="16" t="str">
        <x:v>Codex</x:v>
      </x:c>
      <x:c r="E45" s="16" t="str">
        <x:v>已完成</x:v>
      </x:c>
      <x:c r="F45" s="16" t="str">
        <x:v>P0</x:v>
      </x:c>
      <x:c r="G45" s="17" t="n">
        <x:v>46246</x:v>
      </x:c>
      <x:c r="H45" s="17" t="n">
        <x:v>46246</x:v>
      </x:c>
      <x:c r="I45" s="17" t="n">
        <x:v>46246</x:v>
      </x:c>
      <x:c r="J45" s="16" t="str">
        <x:v>确认测试环境后执行首次数据库导入</x:v>
      </x:c>
      <x:c r="K45" s="16" t="str">
        <x:v>小型样例v3 / 人工复核报告v3</x:v>
      </x:c>
      <x:c r="L45" s="16" t="str">
        <x:v>TC-CHUNK-1102改连TC-LAYOUT-0005；证据链复核通过</x:v>
      </x:c>
    </x:row>
    <x:row r="46">
      <x:c r="A46" t="str">
        <x:v>S6-11</x:v>
      </x:c>
      <x:c r="B46" t="str">
        <x:v>阶段六：平台迁移</x:v>
      </x:c>
      <x:c r="C46" t="str">
        <x:v>完成首个唐长安测试数据库导入与验收</x:v>
      </x:c>
      <x:c r="D46" t="str">
        <x:v>Codex</x:v>
      </x:c>
      <x:c r="E46" t="str">
        <x:v>已完成</x:v>
      </x:c>
      <x:c r="F46" t="str">
        <x:v>P0</x:v>
      </x:c>
      <x:c r="G46" t="n">
        <x:v>46246</x:v>
      </x:c>
      <x:c r="H46" t="n">
        <x:v>46246</x:v>
      </x:c>
      <x:c r="I46" t="n">
        <x:v>46246</x:v>
      </x:c>
      <x:c r="J46" t="str">
        <x:v>启动测试API与页面，检查管理端和证据展示</x:v>
      </x:c>
      <x:c r="K46" t="str">
        <x:v>首次测试导入报告v1 / 旧平台兼容包v1</x:v>
      </x:c>
      <x:c r="L46" t="str">
        <x:v>独立测试库6来源/29片段/48实体/32关系；0重复；原青瓷库未变化</x:v>
      </x:c>
    </x:row>
    <x:row r="47">
      <x:c r="A47" t="str">
        <x:v>S6-12</x:v>
      </x:c>
      <x:c r="B47" t="str">
        <x:v>阶段六：平台迁移</x:v>
      </x:c>
      <x:c r="C47" t="str">
        <x:v>启动唐长安隔离测试平台并完成功能页面验收</x:v>
      </x:c>
      <x:c r="D47" t="str">
        <x:v>Codex</x:v>
      </x:c>
      <x:c r="E47" t="str">
        <x:v>已完成</x:v>
      </x:c>
      <x:c r="F47" t="str">
        <x:v>P0</x:v>
      </x:c>
      <x:c r="G47" t="n">
        <x:v>46246</x:v>
      </x:c>
      <x:c r="H47" t="n">
        <x:v>46246</x:v>
      </x:c>
      <x:c r="I47" t="n">
        <x:v>46246</x:v>
      </x:c>
      <x:c r="J47" t="str">
        <x:v>改造公众前台品牌、首页统计和长安城专题入口</x:v>
      </x:c>
      <x:c r="K47" t="str">
        <x:v>平台页面验收报告v1 / 唐长安测试平台</x:v>
      </x:c>
      <x:c r="L47" t="str">
        <x:v>API与管理端通过；48实体/32关系/6来源；前台仍需迁移</x:v>
      </x:c>
    </x:row>
    <x:row r="48">
      <x:c r="A48" t="str">
        <x:v>S6-13</x:v>
      </x:c>
      <x:c r="B48" t="str">
        <x:v>阶段六：平台迁移</x:v>
      </x:c>
      <x:c r="C48" t="str">
        <x:v>完成唐长安前端第一轮换壳与实时统计改造</x:v>
      </x:c>
      <x:c r="D48" t="str">
        <x:v>Codex</x:v>
      </x:c>
      <x:c r="E48" t="str">
        <x:v>已完成</x:v>
      </x:c>
      <x:c r="F48" t="str">
        <x:v>P0</x:v>
      </x:c>
      <x:c r="G48" t="n">
        <x:v>46246</x:v>
      </x:c>
      <x:c r="H48" t="n">
        <x:v>46246</x:v>
      </x:c>
      <x:c r="I48" t="n">
        <x:v>46246</x:v>
      </x:c>
      <x:c r="J48" t="str">
        <x:v>设计并执行首批小型测试发布</x:v>
      </x:c>
      <x:c r="K48" t="str">
        <x:v>前端换壳与实时统计验收报告v1 / 平台提交3a4b019</x:v>
      </x:c>
      <x:c r="L48" t="str">
        <x:v>品牌与数据统计迁移通过；公开端仍严格限制published+public</x:v>
      </x:c>
    </x:row>
    <x:row r="49" ht="40" customHeight="1">
      <x:c r="A49" s="216" t="str">
        <x:v>S6-14</x:v>
      </x:c>
      <x:c r="B49" s="216" t="str">
        <x:v>阶段六：平台迁移</x:v>
      </x:c>
      <x:c r="C49" s="216" t="str">
        <x:v>完成首次小型闭环测试发布与公众端验收</x:v>
      </x:c>
      <x:c r="D49" s="216" t="str">
        <x:v>Codex</x:v>
      </x:c>
      <x:c r="E49" s="216" t="str">
        <x:v>已完成</x:v>
      </x:c>
      <x:c r="F49" s="216" t="str">
        <x:v>P0</x:v>
      </x:c>
      <x:c r="G49" s="217" t="n">
        <x:v>46246</x:v>
      </x:c>
      <x:c r="H49" s="217" t="n">
        <x:v>46246</x:v>
      </x:c>
      <x:c r="I49" s="217" t="n">
        <x:v>46246</x:v>
      </x:c>
      <x:c r="J49" s="216" t="str">
        <x:v>人工审核公众搜索、图谱和证据卡片展示，再确定第二批发布范围</x:v>
      </x:c>
      <x:c r="K49" s="216" t="str">
        <x:v>首次小型测试发布报告v1 / 发布版本v1</x:v>
      </x:c>
      <x:c r="L49" s="216" t="str">
        <x:v>2实体/1关系/1来源/2片段；检索4文档；依赖校验与回滚快照通过</x:v>
      </x:c>
    </x:row>
    <x:row r="50" ht="40" customHeight="1">
      <x:c r="A50" s="216" t="str">
        <x:v>S6-15</x:v>
      </x:c>
      <x:c r="B50" s="216" t="str">
        <x:v>阶段六：平台迁移</x:v>
      </x:c>
      <x:c r="C50" s="216" t="str">
        <x:v>完成首次小型发布人工审核并启动第二批候选筛选</x:v>
      </x:c>
      <x:c r="D50" s="216" t="str">
        <x:v>用户 / Codex</x:v>
      </x:c>
      <x:c r="E50" s="216" t="str">
        <x:v>已完成</x:v>
      </x:c>
      <x:c r="F50" s="216" t="str">
        <x:v>P0</x:v>
      </x:c>
      <x:c r="G50" s="217" t="n">
        <x:v>46246</x:v>
      </x:c>
      <x:c r="H50" s="217" t="n">
        <x:v>46246</x:v>
      </x:c>
      <x:c r="I50" s="217" t="n">
        <x:v>46246</x:v>
      </x:c>
      <x:c r="J50" s="216" t="str">
        <x:v>人工抽查第二批公众图谱，再确定正式迁移优先级</x:v>
      </x:c>
      <x:c r="K50" s="216" t="str">
        <x:v>第二批平台发布报告v1 / 发布版本v2</x:v>
      </x:c>
      <x:c r="L50" s="216" t="str">
        <x:v>发布8实体/4关系/4片段；公众总量10实体/5关系/1来源/6片段</x:v>
      </x:c>
    </x:row>
    <x:row r="51" ht="40" customHeight="1">
      <x:c r="A51" s="216" t="str">
        <x:v>S6-16</x:v>
      </x:c>
      <x:c r="B51" s="216" t="str">
        <x:v>阶段六：平台迁移</x:v>
      </x:c>
      <x:c r="C51" s="216" t="str">
        <x:v>人工抽查第二批发布并确定正式迁移优先级</x:v>
      </x:c>
      <x:c r="D51" s="216" t="str">
        <x:v>用户 / Codex</x:v>
      </x:c>
      <x:c r="E51" s="216" t="str">
        <x:v>已完成</x:v>
      </x:c>
      <x:c r="F51" s="216" t="str">
        <x:v>P0</x:v>
      </x:c>
      <x:c r="G51" s="217" t="n">
        <x:v>46246</x:v>
      </x:c>
      <x:c r="H51" s="217" t="n">
        <x:v>46246</x:v>
      </x:c>
      <x:c r="I51" s="217" t="str">
        <x:v>2026-08-12</x:v>
      </x:c>
      <x:c r="J51" s="216" t="str">
        <x:v>进入正式迁移前的P0结构补全</x:v>
      </x:c>
      <x:c r="K51" s="216" t="str">
        <x:v>第二批公众页面审核记录 / 正式迁移顺序</x:v>
      </x:c>
      <x:c r="L51" s="216" t="str">
        <x:v>用户审核通过；确定先发布空间基础事实</x:v>
      </x:c>
    </x:row>
    <x:row r="52" ht="40" customHeight="1">
      <x:c r="A52" s="216" t="str">
        <x:v>S6-17</x:v>
      </x:c>
      <x:c r="B52" s="216" t="str">
        <x:v>阶段六：平台迁移</x:v>
      </x:c>
      <x:c r="C52" s="216" t="str">
        <x:v>同步小型样例实体表与关系表，并修复转换去重</x:v>
      </x:c>
      <x:c r="D52" s="216" t="str">
        <x:v>Codex</x:v>
      </x:c>
      <x:c r="E52" s="216" t="str">
        <x:v>已完成</x:v>
      </x:c>
      <x:c r="F52" s="216" t="str">
        <x:v>P0</x:v>
      </x:c>
      <x:c r="G52" s="217" t="n">
        <x:v>46246</x:v>
      </x:c>
      <x:c r="H52" s="217" t="n">
        <x:v>46246</x:v>
      </x:c>
      <x:c r="I52" s="217" t="n">
        <x:v>46246</x:v>
      </x:c>
      <x:c r="J52" s="216" t="str">
        <x:v>人工抽查v4；后续以v4作为小型样例唯一工作版本</x:v>
      </x:c>
      <x:c r="K52" s="216" t="str">
        <x:v>小型样例v4 / 转换程序去重修复</x:v>
      </x:c>
      <x:c r="L52" s="216" t="str">
        <x:v>实体表23→48，关系表10→32；重新转换0错误、0警告、0重复</x:v>
      </x:c>
    </x:row>
    <x:row r="53" ht="40" customHeight="1">
      <x:c r="A53" s="216" t="str">
        <x:v>S6-18</x:v>
      </x:c>
      <x:c r="B53" s="216" t="str">
        <x:v>阶段六：平台迁移</x:v>
      </x:c>
      <x:c r="C53" s="216" t="str">
        <x:v>补齐专题表遗漏关系并完善自动转换阻断</x:v>
      </x:c>
      <x:c r="D53" s="216" t="str">
        <x:v>Codex</x:v>
      </x:c>
      <x:c r="E53" s="216" t="str">
        <x:v>已完成</x:v>
      </x:c>
      <x:c r="F53" s="216" t="str">
        <x:v>P0</x:v>
      </x:c>
      <x:c r="G53" s="217" t="n">
        <x:v>46246</x:v>
      </x:c>
      <x:c r="H53" s="217" t="n">
        <x:v>46246</x:v>
      </x:c>
      <x:c r="I53" s="217" t="str">
        <x:v>2026-08-12</x:v>
      </x:c>
      <x:c r="J53" s="216" t="str">
        <x:v>以v6和平台导入包v2为后续基线</x:v>
      </x:c>
      <x:c r="K53" s="216" t="str">
        <x:v>小型样例v6 / 专题关系自动转换</x:v>
      </x:c>
      <x:c r="L53" s="216" t="str">
        <x:v>11条新增关系均已审核并发布</x:v>
      </x:c>
    </x:row>
    <x:row r="54" ht="40" customHeight="1">
      <x:c r="A54" s="216" t="str">
        <x:v>S6-19</x:v>
      </x:c>
      <x:c r="B54" s="216" t="str">
        <x:v>阶段六：平台迁移</x:v>
      </x:c>
      <x:c r="C54" s="216" t="str">
        <x:v>完成第三批空间基础事实发布与网页验收</x:v>
      </x:c>
      <x:c r="D54" s="216" t="str">
        <x:v>用户 / Codex</x:v>
      </x:c>
      <x:c r="E54" s="216" t="str">
        <x:v>已完成</x:v>
      </x:c>
      <x:c r="F54" s="216" t="str">
        <x:v>P0</x:v>
      </x:c>
      <x:c r="G54" s="217" t="str">
        <x:v>2026-08-12</x:v>
      </x:c>
      <x:c r="H54" s="217" t="str">
        <x:v>2026-08-12</x:v>
      </x:c>
      <x:c r="I54" s="217" t="str">
        <x:v>2026-08-12</x:v>
      </x:c>
      <x:c r="J54" s="216" t="str">
        <x:v>人工审核v7新增的外郭城、永安渠六坊和平康坊空间关系</x:v>
      </x:c>
      <x:c r="K54" s="216" t="str">
        <x:v>发布版本v3 / 第三批发布与网页验收报告v1</x:v>
      </x:c>
      <x:c r="L54" s="216" t="str">
        <x:v>发布11实体、11关系、1来源、6片段；公开总量21实体/16关系/2来源/12片段；搜索索引33文档</x:v>
      </x:c>
    </x:row>
    <x:row r="55" ht="40" customHeight="1">
      <x:c r="A55" s="216" t="str">
        <x:v>S6-20</x:v>
      </x:c>
      <x:c r="B55" s="216" t="str">
        <x:v>阶段六：平台迁移</x:v>
      </x:c>
      <x:c r="C55" s="216" t="str">
        <x:v>补齐正式迁移前P0结构端点，修正平康坊方向及x=±3坊列道路边界</x:v>
      </x:c>
      <x:c r="D55" s="216" t="str">
        <x:v>用户 / Codex</x:v>
      </x:c>
      <x:c r="E55" s="216" t="str">
        <x:v>已完成</x:v>
      </x:c>
      <x:c r="F55" s="216" t="str">
        <x:v>P0</x:v>
      </x:c>
      <x:c r="G55" s="217" t="str">
        <x:v>2026-08-12</x:v>
      </x:c>
      <x:c r="H55" s="217" t="str">
        <x:v>2026-08-12</x:v>
      </x:c>
      <x:c r="I55" s="217" t="str">
        <x:v>2026-08-12</x:v>
      </x:c>
      <x:c r="J55" s="216" t="str">
        <x:v>以小型样例v9和发布v4作为Skill升级的稳定样例基线</x:v>
      </x:c>
      <x:c r="K55" s="216" t="str">
        <x:v>小型样例v9 / 平台导入包v5 / 发布版本v4 / 第四批平台发布与网页验收报告v1</x:v>
      </x:c>
      <x:c r="L55" s="216" t="str">
        <x:v>用户审核通过；公开39实体/50关系/4来源/19片段；图谱与检索验收通过</x:v>
      </x:c>
    </x:row>
    <x:row r="56" ht="40" customHeight="1">
      <x:c r="A56" s="216" t="str">
        <x:v>S7-01</x:v>
      </x:c>
      <x:c r="B56" s="216" t="str">
        <x:v>阶段七：全量提取</x:v>
      </x:c>
      <x:c r="C56" s="216" t="str">
        <x:v>完成108坊功能数据</x:v>
      </x:c>
      <x:c r="D56" s="216" t="str">
        <x:v>同事</x:v>
      </x:c>
      <x:c r="E56" s="216" t="str">
        <x:v>进行中</x:v>
      </x:c>
      <x:c r="F56" s="216" t="str">
        <x:v>P1</x:v>
      </x:c>
      <x:c r="G56" s="217" t="str">
        <x:v>2026-08-13</x:v>
      </x:c>
      <x:c r="H56" s="217"/>
      <x:c r="I56" s="217"/>
      <x:c r="J56" s="216" t="str">
        <x:v>按协作包开始首篇试运行文献；复用108坊及公共对象编号</x:v>
      </x:c>
      <x:c r="K56" s="216" t="str">
        <x:v>协作登记表 / 个人批次工作簿</x:v>
      </x:c>
      <x:c r="L56" s="216" t="str">
        <x:v>108坊已登记为待补字段；先补证据和字段，不直接发布</x:v>
      </x:c>
    </x:row>
    <x:row r="57" ht="40" customHeight="1">
      <x:c r="A57" s="216" t="str">
        <x:v>S7-02</x:v>
      </x:c>
      <x:c r="B57" s="216" t="str">
        <x:v>阶段七：全量提取</x:v>
      </x:c>
      <x:c r="C57" s="216" t="str">
        <x:v>完成道路分级数据</x:v>
      </x:c>
      <x:c r="D57" s="216" t="str">
        <x:v>同事</x:v>
      </x:c>
      <x:c r="E57" s="216" t="str">
        <x:v>尚未开始</x:v>
      </x:c>
      <x:c r="F57" s="216" t="str">
        <x:v>P1</x:v>
      </x:c>
      <x:c r="G57" s="217"/>
      <x:c r="H57" s="217"/>
      <x:c r="I57" s="217"/>
      <x:c r="J57" s="216" t="str">
        <x:v>分批提取与审核</x:v>
      </x:c>
      <x:c r="K57" s="216" t="str">
        <x:v>道路全量表</x:v>
      </x:c>
      <x:c r="L57" s="216"/>
    </x:row>
    <x:row r="58" ht="40" customHeight="1">
      <x:c r="A58" s="216" t="str">
        <x:v>S7-03</x:v>
      </x:c>
      <x:c r="B58" s="216" t="str">
        <x:v>阶段七：全量提取</x:v>
      </x:c>
      <x:c r="C58" s="216" t="str">
        <x:v>完成水渠数据</x:v>
      </x:c>
      <x:c r="D58" s="216" t="str">
        <x:v>同事</x:v>
      </x:c>
      <x:c r="E58" s="216" t="str">
        <x:v>尚未开始</x:v>
      </x:c>
      <x:c r="F58" s="216" t="str">
        <x:v>P1</x:v>
      </x:c>
      <x:c r="G58" s="217"/>
      <x:c r="H58" s="217"/>
      <x:c r="I58" s="217"/>
      <x:c r="J58" s="216" t="str">
        <x:v>分批提取与审核</x:v>
      </x:c>
      <x:c r="K58" s="216" t="str">
        <x:v>水渠全量表</x:v>
      </x:c>
      <x:c r="L58" s="216"/>
    </x:row>
    <x:row r="59" ht="44" customHeight="1">
      <x:c r="A59" s="216" t="str">
        <x:v>S7-04</x:v>
      </x:c>
      <x:c r="B59" s="216" t="str">
        <x:v>阶段七：全量提取</x:v>
      </x:c>
      <x:c r="C59" s="216" t="str">
        <x:v>完成城门数据</x:v>
      </x:c>
      <x:c r="D59" s="216" t="str">
        <x:v>我</x:v>
      </x:c>
      <x:c r="E59" s="216" t="str">
        <x:v>尚未开始</x:v>
      </x:c>
      <x:c r="F59" s="216" t="str">
        <x:v>P1</x:v>
      </x:c>
      <x:c r="G59" s="217"/>
      <x:c r="H59" s="217"/>
      <x:c r="I59" s="217"/>
      <x:c r="J59" s="216" t="str">
        <x:v>严格区分城门与内门</x:v>
      </x:c>
      <x:c r="K59" s="216" t="str">
        <x:v>城门全量表</x:v>
      </x:c>
      <x:c r="L59" s="216"/>
    </x:row>
    <x:row r="60" ht="44" customHeight="1">
      <x:c r="A60" s="216" t="str">
        <x:v>S7-05</x:v>
      </x:c>
      <x:c r="B60" s="216" t="str">
        <x:v>阶段七：全量提取</x:v>
      </x:c>
      <x:c r="C60" s="216" t="str">
        <x:v>完成尺度关系数据</x:v>
      </x:c>
      <x:c r="D60" s="216" t="str">
        <x:v>我</x:v>
      </x:c>
      <x:c r="E60" s="216" t="str">
        <x:v>尚未开始</x:v>
      </x:c>
      <x:c r="F60" s="216" t="str">
        <x:v>P1</x:v>
      </x:c>
      <x:c r="G60" s="217"/>
      <x:c r="H60" s="217"/>
      <x:c r="I60" s="217"/>
      <x:c r="J60" s="216" t="str">
        <x:v>全部公式人工复核</x:v>
      </x:c>
      <x:c r="K60" s="216" t="str">
        <x:v>尺度关系全量表</x:v>
      </x:c>
      <x:c r="L60" s="216"/>
    </x:row>
    <x:row r="61" ht="44" customHeight="1">
      <x:c r="A61" s="216" t="str">
        <x:v>S7-06</x:v>
      </x:c>
      <x:c r="B61" s="216" t="str">
        <x:v>阶段七：全量提取</x:v>
      </x:c>
      <x:c r="C61" s="216" t="str">
        <x:v>完成功能分区规则</x:v>
      </x:c>
      <x:c r="D61" s="216" t="str">
        <x:v>我</x:v>
      </x:c>
      <x:c r="E61" s="216" t="str">
        <x:v>尚未开始</x:v>
      </x:c>
      <x:c r="F61" s="216" t="str">
        <x:v>P1</x:v>
      </x:c>
      <x:c r="G61" s="217"/>
      <x:c r="H61" s="217"/>
      <x:c r="I61" s="217"/>
      <x:c r="J61" s="216" t="str">
        <x:v>必须检索反例</x:v>
      </x:c>
      <x:c r="K61" s="216" t="str">
        <x:v>规则全量表</x:v>
      </x:c>
      <x:c r="L61" s="216"/>
    </x:row>
    <x:row r="62" ht="48" customHeight="1">
      <x:c r="A62" s="216" t="str">
        <x:v>S8-01</x:v>
      </x:c>
      <x:c r="B62" s="216" t="str">
        <x:v>阶段八：质量检查</x:v>
      </x:c>
      <x:c r="C62" s="216" t="str">
        <x:v>完成数据完整性、历史语义和数值检查</x:v>
      </x:c>
      <x:c r="D62" s="216" t="str">
        <x:v>共同</x:v>
      </x:c>
      <x:c r="E62" s="216" t="str">
        <x:v>尚未开始</x:v>
      </x:c>
      <x:c r="F62" s="216" t="str">
        <x:v>P0</x:v>
      </x:c>
      <x:c r="G62" s="217"/>
      <x:c r="H62" s="217"/>
      <x:c r="I62" s="217"/>
      <x:c r="J62" s="216" t="str">
        <x:v>全量导入前完成</x:v>
      </x:c>
      <x:c r="K62" s="216" t="str">
        <x:v>质量报告</x:v>
      </x:c>
      <x:c r="L62" s="216"/>
    </x:row>
    <x:row r="63" ht="48" customHeight="1">
      <x:c r="A63" s="216" t="str">
        <x:v>S8-02</x:v>
      </x:c>
      <x:c r="B63" s="216" t="str">
        <x:v>阶段八：质量检查</x:v>
      </x:c>
      <x:c r="C63" s="216" t="str">
        <x:v>完成系统测试与重复导入测试</x:v>
      </x:c>
      <x:c r="D63" s="216" t="str">
        <x:v>Codex</x:v>
      </x:c>
      <x:c r="E63" s="216" t="str">
        <x:v>尚未开始</x:v>
      </x:c>
      <x:c r="F63" s="216" t="str">
        <x:v>P0</x:v>
      </x:c>
      <x:c r="G63" s="217"/>
      <x:c r="H63" s="217"/>
      <x:c r="I63" s="217"/>
      <x:c r="J63" s="216" t="str">
        <x:v>发布前完成</x:v>
      </x:c>
      <x:c r="K63" s="216" t="str">
        <x:v>系统测试报告</x:v>
      </x:c>
      <x:c r="L63" s="216"/>
    </x:row>
    <x:row r="64">
      <x:c r="A64" t="str">
        <x:v>S9-01</x:v>
      </x:c>
      <x:c r="B64" t="str">
        <x:v>阶段九：发布交付</x:v>
      </x:c>
      <x:c r="C64" t="str">
        <x:v>冻结第一版数据并生成文档</x:v>
      </x:c>
      <x:c r="D64" t="str">
        <x:v>共同</x:v>
      </x:c>
      <x:c r="E64" t="str">
        <x:v>尚未开始</x:v>
      </x:c>
      <x:c r="F64" t="str">
        <x:v>P0</x:v>
      </x:c>
      <x:c r="G64"/>
      <x:c r="H64"/>
      <x:c r="I64"/>
      <x:c r="J64" t="str">
        <x:v>完成最终审核</x:v>
      </x:c>
      <x:c r="K64" t="str">
        <x:v>tang_changan_v1</x:v>
      </x:c>
      <x:c r="L64"/>
    </x:row>
    <x:row r="65">
      <x:c r="A65" t="str">
        <x:v>S9-02</x:v>
      </x:c>
      <x:c r="B65" t="str">
        <x:v>阶段九：发布交付</x:v>
      </x:c>
      <x:c r="C65" t="str">
        <x:v>发布v1并建立Git标签v1.0.0</x:v>
      </x:c>
      <x:c r="D65" t="str">
        <x:v>共同</x:v>
      </x:c>
      <x:c r="E65" t="str">
        <x:v>尚未开始</x:v>
      </x:c>
      <x:c r="F65" t="str">
        <x:v>P0</x:v>
      </x:c>
      <x:c r="G65"/>
      <x:c r="H65"/>
      <x:c r="I65"/>
      <x:c r="J65" t="str">
        <x:v>检查权限与版权</x:v>
      </x:c>
      <x:c r="K65" t="str">
        <x:v>正式发布</x:v>
      </x:c>
      <x:c r="L65"/>
    </x:row>
  </x:sheetData>
  <x:mergeCells>
    <x:mergeCell ref="A1:L1"/>
    <x:mergeCell ref="A2:L2"/>
  </x:mergeCells>
  <x:conditionalFormatting sqref="E4:E45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等待确认"/>
    <x:cfRule type="containsText" dxfId="3" priority="4" operator="containsText" text="遇到问题"/>
    <x:cfRule type="containsText" dxfId="4" priority="5" operator="containsText" text="尚未开始"/>
  </x:conditionalFormatting>
  <x:dataValidations count="3">
    <x:dataValidation type="list" sqref="D4:D45">
      <x:formula1>"我,同事,共同,Codex,待分配"</x:formula1>
    </x:dataValidation>
    <x:dataValidation type="list" sqref="E4:E45">
      <x:formula1>"已完成,进行中,等待确认,遇到问题,尚未开始"</x:formula1>
    </x:dataValidation>
    <x:dataValidation type="list" sqref="F4:F45">
      <x:formula1>"P0,P1,P2,P3"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28" hidden="0" customWidth="1"/>
    <x:col min="7" max="7" width="38" hidden="0" customWidth="1"/>
    <x:col min="8" max="8" width="30" hidden="0" customWidth="1"/>
  </x:cols>
  <x:sheetData>
    <x:row r="1" ht="34" customHeight="1">
      <x:c r="A1" s="3" t="str">
        <x:v>唐长安城知识图谱 · 里程碑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2" t="str">
        <x:v>里程碑</x:v>
      </x:c>
      <x:c r="B3" s="12" t="str">
        <x:v>目标日期</x:v>
      </x:c>
      <x:c r="C3" s="12" t="str">
        <x:v>负责人</x:v>
      </x:c>
      <x:c r="D3" s="12" t="str">
        <x:v>状态</x:v>
      </x:c>
      <x:c r="E3" s="12" t="str">
        <x:v>完成日期</x:v>
      </x:c>
      <x:c r="F3" s="12" t="str">
        <x:v>Git/文件证据</x:v>
      </x:c>
      <x:c r="G3" s="12" t="str">
        <x:v>验收标准</x:v>
      </x:c>
      <x:c r="H3" s="12" t="str">
        <x:v>下一步</x:v>
      </x:c>
    </x:row>
    <x:row r="4">
      <x:c r="A4" s="207" t="str">
        <x:v>建立版本管理基线</x:v>
      </x:c>
      <x:c r="B4" s="207" t="str">
        <x:v>2026-08-07</x:v>
      </x:c>
      <x:c r="C4" s="207" t="str">
        <x:v>Codex</x:v>
      </x:c>
      <x:c r="D4" s="207" t="str">
        <x:v>已完成</x:v>
      </x:c>
      <x:c r="E4" s="207" t="str">
        <x:v>2026-08-07</x:v>
      </x:c>
      <x:c r="F4" s="207" t="str">
        <x:v>6977c62 / 2d6f9f7</x:v>
      </x:c>
      <x:c r="G4" s="207" t="str">
        <x:v>两个仓库工作区干净</x:v>
      </x:c>
      <x:c r="H4" s="207" t="str">
        <x:v>维护Git提交</x:v>
      </x:c>
    </x:row>
    <x:row r="5">
      <x:c r="A5" s="207" t="str">
        <x:v>六张表字段规范v1</x:v>
      </x:c>
      <x:c r="B5" s="207" t="str">
        <x:v>2026-08-15</x:v>
      </x:c>
      <x:c r="C5" s="207" t="str">
        <x:v>共同</x:v>
      </x:c>
      <x:c r="D5" s="207" t="str">
        <x:v>进行中</x:v>
      </x:c>
      <x:c r="E5" s="207" t="str"/>
      <x:c r="F5" s="207" t="str">
        <x:v>阶段二v1模板 / 656647b</x:v>
      </x:c>
      <x:c r="G5" s="207" t="str">
        <x:v>六张表联合评审通过</x:v>
      </x:c>
      <x:c r="H5" s="207" t="str">
        <x:v>完成字段评审</x:v>
      </x:c>
    </x:row>
    <x:row r="6">
      <x:c r="A6" s="207" t="str">
        <x:v>小型样例通过审核</x:v>
      </x:c>
      <x:c r="B6" s="207" t="str"/>
      <x:c r="C6" s="207" t="str">
        <x:v>共同</x:v>
      </x:c>
      <x:c r="D6" s="207" t="str">
        <x:v>尚未开始</x:v>
      </x:c>
      <x:c r="E6" s="207" t="str"/>
      <x:c r="F6" s="207" t="str"/>
      <x:c r="G6" s="207" t="str">
        <x:v>5坊、3道路、2水渠、5城门等样例通过</x:v>
      </x:c>
      <x:c r="H6" s="207" t="str">
        <x:v>字段冻结后开始</x:v>
      </x:c>
    </x:row>
    <x:row r="7">
      <x:c r="A7" s="207" t="str">
        <x:v>提取Skill v2完成</x:v>
      </x:c>
      <x:c r="B7" s="207" t="str"/>
      <x:c r="C7" s="207" t="str">
        <x:v>Codex</x:v>
      </x:c>
      <x:c r="D7" s="207" t="str">
        <x:v>尚未开始</x:v>
      </x:c>
      <x:c r="E7" s="207" t="str"/>
      <x:c r="F7" s="207" t="str"/>
      <x:c r="G7" s="207" t="str">
        <x:v>能输出六张专题表并通过样例测试</x:v>
      </x:c>
      <x:c r="H7" s="207" t="str">
        <x:v>小样例通过后升级</x:v>
      </x:c>
    </x:row>
    <x:row r="8">
      <x:c r="A8" s="207" t="str">
        <x:v>平台样例导入完成</x:v>
      </x:c>
      <x:c r="B8" s="207" t="str"/>
      <x:c r="C8" s="207" t="str">
        <x:v>共同</x:v>
      </x:c>
      <x:c r="D8" s="207" t="str">
        <x:v>尚未开始</x:v>
      </x:c>
      <x:c r="E8" s="207" t="str"/>
      <x:c r="F8" s="207" t="str"/>
      <x:c r="G8" s="207" t="str">
        <x:v>检索、图谱、证据和AI问答通过</x:v>
      </x:c>
      <x:c r="H8" s="207" t="str">
        <x:v>编写转换脚本</x:v>
      </x:c>
    </x:row>
    <x:row r="9">
      <x:c r="A9" s="207" t="str">
        <x:v>六张专题表全量完成</x:v>
      </x:c>
      <x:c r="B9" s="207" t="str"/>
      <x:c r="C9" s="207" t="str">
        <x:v>共同</x:v>
      </x:c>
      <x:c r="D9" s="207" t="str">
        <x:v>尚未开始</x:v>
      </x:c>
      <x:c r="E9" s="207" t="str"/>
      <x:c r="F9" s="207" t="str"/>
      <x:c r="G9" s="207" t="str">
        <x:v>全部记录通过质量检查</x:v>
      </x:c>
      <x:c r="H9" s="207" t="str">
        <x:v>分批提取审核</x:v>
      </x:c>
    </x:row>
    <x:row r="10">
      <x:c r="A10" s="207" t="str">
        <x:v>唐长安城知识库v1发布</x:v>
      </x:c>
      <x:c r="B10" s="207" t="str"/>
      <x:c r="C10" s="207" t="str">
        <x:v>共同</x:v>
      </x:c>
      <x:c r="D10" s="207" t="str">
        <x:v>尚未开始</x:v>
      </x:c>
      <x:c r="E10" s="207" t="str"/>
      <x:c r="F10" s="207" t="str"/>
      <x:c r="G10" s="207" t="str">
        <x:v>数据、系统、文档和权限验收通过</x:v>
      </x:c>
      <x:c r="H10" s="207" t="str">
        <x:v>建立Git标签v1.0.0</x:v>
      </x:c>
    </x:row>
  </x:sheetData>
  <x:mergeCells>
    <x:mergeCell ref="A1:H1"/>
  </x:mergeCells>
  <x:conditionalFormatting sqref="D4:D10">
    <x:cfRule type="containsText" dxfId="5" priority="1" operator="containsText" text="已完成"/>
    <x:cfRule type="containsText" dxfId="6" priority="2" operator="containsText" text="进行中"/>
    <x:cfRule type="containsText" dxfId="7" priority="3" operator="containsText" text="等待确认"/>
    <x:cfRule type="containsText" dxfId="8" priority="4" operator="containsText" text="遇到问题"/>
    <x:cfRule type="containsText" dxfId="9" priority="5" operator="containsText" text="尚未开始"/>
  </x:conditionalFormatting>
  <x:dataValidations count="1">
    <x:dataValidation type="list" sqref="D4:D10">
      <x:formula1>"已完成,进行中,等待确认,遇到问题,尚未开始"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6" hidden="0" customWidth="1"/>
    <x:col min="5" max="5" width="36" hidden="0" customWidth="1"/>
    <x:col min="6" max="6" width="30" hidden="0" customWidth="1"/>
  </x:cols>
  <x:sheetData>
    <x:row r="1" ht="34" customHeight="1">
      <x:c r="A1" s="3" t="str">
        <x:v>唐长安城知识图谱 · 更新日志</x:v>
      </x:c>
      <x:c r="B1" s="3"/>
      <x:c r="C1" s="3"/>
      <x:c r="D1" s="3"/>
      <x:c r="E1" s="3"/>
      <x:c r="F1" s="3"/>
    </x:row>
    <x:row r="2" ht="28" customHeight="1">
      <x:c r="A2" s="5" t="str">
        <x:v>每次工作结束只增加一行。即使隔很久再回来，也可以从最上方的新记录快速恢复记忆。</x:v>
      </x:c>
      <x:c r="B2" s="5"/>
      <x:c r="C2" s="5"/>
      <x:c r="D2" s="5"/>
      <x:c r="E2" s="5"/>
      <x:c r="F2" s="5"/>
    </x:row>
    <x:row r="3" ht="30" customHeight="1">
      <x:c r="A3" s="12" t="str">
        <x:v>日期</x:v>
      </x:c>
      <x:c r="B3" s="12" t="str">
        <x:v>更新人</x:v>
      </x:c>
      <x:c r="C3" s="12" t="str">
        <x:v>完成内容</x:v>
      </x:c>
      <x:c r="D3" s="12" t="str">
        <x:v>Git提交/文件</x:v>
      </x:c>
      <x:c r="E3" s="12" t="str">
        <x:v>下一步</x:v>
      </x:c>
      <x:c r="F3" s="12" t="str">
        <x:v>备注</x:v>
      </x:c>
    </x:row>
    <x:row r="4">
      <x:c r="A4" s="207" t="str">
        <x:v>2026-08-07</x:v>
      </x:c>
      <x:c r="B4" s="207" t="str">
        <x:v>Codex</x:v>
      </x:c>
      <x:c r="C4" s="207" t="str">
        <x:v>建立文献提取工程Git仓库</x:v>
      </x:c>
      <x:c r="D4" s="207" t="str">
        <x:v>6977c62</x:v>
      </x:c>
      <x:c r="E4" s="207" t="str">
        <x:v>复制并建立新平台仓库</x:v>
      </x:c>
      <x:c r="F4" s="207" t="str"/>
    </x:row>
    <x:row r="5">
      <x:c r="A5" s="207" t="str">
        <x:v>2026-08-07</x:v>
      </x:c>
      <x:c r="B5" s="207" t="str">
        <x:v>Codex</x:v>
      </x:c>
      <x:c r="C5" s="207" t="str">
        <x:v>从青瓷库复制唐长安城平台技术基线</x:v>
      </x:c>
      <x:c r="D5" s="207" t="str">
        <x:v>2d6f9f7</x:v>
      </x:c>
      <x:c r="E5" s="207" t="str">
        <x:v>确定六张核心表字段</x:v>
      </x:c>
      <x:c r="F5" s="207" t="str">
        <x:v>未复制.env</x:v>
      </x:c>
    </x:row>
    <x:row r="6">
      <x:c r="A6" s="207" t="str">
        <x:v>2026-08-07</x:v>
      </x:c>
      <x:c r="B6" s="207" t="str">
        <x:v>Codex</x:v>
      </x:c>
      <x:c r="C6" s="207" t="str">
        <x:v>完成阶段二v1录入模板，共12张工作表</x:v>
      </x:c>
      <x:c r="D6" s="207" t="str">
        <x:v>656647b / 唐长安城知识图谱录入模板_阶段二_v1.xlsx</x:v>
      </x:c>
      <x:c r="E6" s="207" t="str">
        <x:v>组织六张表字段联合评审</x:v>
      </x:c>
      <x:c r="F6" s="207" t="str"/>
    </x:row>
    <x:row r="7">
      <x:c r="A7" s="207" t="str">
        <x:v>2026-08-07</x:v>
      </x:c>
      <x:c r="B7" s="207" t="str">
        <x:v>Codex</x:v>
      </x:c>
      <x:c r="C7" s="207" t="str">
        <x:v>建立项目进度看板</x:v>
      </x:c>
      <x:c r="D7" s="207" t="str">
        <x:v>本文件</x:v>
      </x:c>
      <x:c r="E7" s="207" t="str">
        <x:v>审核城门、尺度、功能规则字段</x:v>
      </x:c>
      <x:c r="F7" s="207" t="str">
        <x:v>以后每次工作后更新本表</x:v>
      </x:c>
    </x:row>
    <x:row r="8">
      <x:c r="A8" s="212" t="str">
        <x:v>2026-08-07</x:v>
      </x:c>
      <x:c r="B8" s="213" t="str">
        <x:v>Codex</x:v>
      </x:c>
      <x:c r="C8" s="213" t="str">
        <x:v>新增坊间空间关系表与专题表转换规则v1；确认后三张字段</x:v>
      </x:c>
      <x:c r="D8" s="213" t="str">
        <x:v>阶段二v1模板</x:v>
      </x:c>
      <x:c r="E8" s="213" t="str">
        <x:v>同事确认前三张表并召开联合评审</x:v>
      </x:c>
      <x:c r="F8" s="214" t="str">
        <x:v>六张核心表不变，新增两张辅助表</x:v>
      </x:c>
    </x:row>
    <x:row r="9">
      <x:c r="A9" s="212" t="str">
        <x:v>2026-08-07</x:v>
      </x:c>
      <x:c r="B9" s="213" t="str">
        <x:v>Codex</x:v>
      </x:c>
      <x:c r="C9" s="213" t="str">
        <x:v>完成小型样例文献初选，确定3份现有主文献、5份建议补充资料及样例对象群</x:v>
      </x:c>
      <x:c r="D9" s="213" t="str">
        <x:v>小型样例文献选择方案_v1.md</x:v>
      </x:c>
      <x:c r="E9" s="213" t="str">
        <x:v>团队确认名单并取得优先考古资料</x:v>
      </x:c>
      <x:c r="F9" s="214" t="str">
        <x:v>尺度与坐标缺口暂不推测</x:v>
      </x:c>
    </x:row>
    <x:row r="10">
      <x:c r="A10" s="212" t="str">
        <x:v>2026-08-07</x:v>
      </x:c>
      <x:c r="B10" s="213" t="str">
        <x:v>Codex</x:v>
      </x:c>
      <x:c r="C10" s="213" t="str">
        <x:v>完成小型样例第1批：9条片段、13实体、6关系及道路/水渠/城门/尺度/规则专题记录</x:v>
      </x:c>
      <x:c r="D10" s="213" t="str">
        <x:v>小型样例_第1批_文献片段与基础对象_v1.xlsx</x:v>
      </x:c>
      <x:c r="E10" s="213" t="str">
        <x:v>扫描版核对并继续提取5坊</x:v>
      </x:c>
      <x:c r="F10" s="214" t="str">
        <x:v>未填写坐标和米制换算，全部待审核</x:v>
      </x:c>
    </x:row>
    <x:row r="11">
      <x:c r="A11" s="212" t="str">
        <x:v>2026-08-08</x:v>
      </x:c>
      <x:c r="B11" s="213" t="str">
        <x:v>Codex</x:v>
      </x:c>
      <x:c r="C11" s="213" t="str">
        <x:v>新增坊平面网格坐标与道路网格序位字段，并同步转换规则和样例</x:v>
      </x:c>
      <x:c r="D11" s="213" t="str">
        <x:v>阶段二模板 / 第1批小样例</x:v>
      </x:c>
      <x:c r="E11" s="213" t="str">
        <x:v>确认复原网格基准后填写具体序号</x:v>
      </x:c>
      <x:c r="F11" s="214" t="str">
        <x:v>网格位置不等同经纬度</x:v>
      </x:c>
    </x:row>
    <x:row r="12">
      <x:c r="A12" t="str">
        <x:v>2026-08-08</x:v>
      </x:c>
      <x:c r="B12" t="str">
        <x:v>Codex</x:v>
      </x:c>
      <x:c r="C12" t="str">
        <x:v>新增坊平面网格坐标与道路网格序位字段，并同步转换规则和样例</x:v>
      </x:c>
      <x:c r="D12" t="str">
        <x:v>阶段二模板 / 第1批小样例</x:v>
      </x:c>
      <x:c r="E12" t="str">
        <x:v>确认复原网格基准后填写具体序号</x:v>
      </x:c>
      <x:c r="F12" t="str">
        <x:v>网格位置不等同经纬度</x:v>
      </x:c>
    </x:row>
    <x:row r="13">
      <x:c r="A13" t="str">
        <x:v>2026-08-08</x:v>
      </x:c>
      <x:c r="B13" t="str">
        <x:v>Codex</x:v>
      </x:c>
      <x:c r="C13" t="str">
        <x:v>建立道路轴线序位规则并试编横街、承天门街</x:v>
      </x:c>
      <x:c r="D13" t="str">
        <x:v>阶段二模板 / 第1批小样例</x:v>
      </x:c>
      <x:c r="E13" t="str">
        <x:v>人工核对两条道路后扩展主要道路</x:v>
      </x:c>
      <x:c r="F13" t="str">
        <x:v>轴线编号不等于道路实体</x:v>
      </x:c>
    </x:row>
    <x:row r="14">
      <x:c r="A14" t="str">
        <x:v>2026-08-08</x:v>
      </x:c>
      <x:c r="B14" t="str">
        <x:v>Codex</x:v>
      </x:c>
      <x:c r="C14" t="str">
        <x:v>修正东西向坊间道路为12条，横街移出EW序位</x:v>
      </x:c>
      <x:c r="D14" t="str">
        <x:v>阶段二模板 / 第1批小样例</x:v>
      </x:c>
      <x:c r="E14" t="str">
        <x:v>继续核对主要命名道路</x:v>
      </x:c>
      <x:c r="F14" t="str">
        <x:v>横街位于第1排坊北侧</x:v>
      </x:c>
    </x:row>
    <x:row r="15">
      <x:c r="A15" t="str">
        <x:v>2026-08-08</x:v>
      </x:c>
      <x:c r="B15" t="str">
        <x:v>Codex</x:v>
      </x:c>
      <x:c r="C15" t="str">
        <x:v>试编朱雀大街及安化门、启夏门向北道路</x:v>
      </x:c>
      <x:c r="D15" t="str">
        <x:v>阶段二模板 / 第1批小样例</x:v>
      </x:c>
      <x:c r="E15" t="str">
        <x:v>确认两条暂名道路的史料名称</x:v>
      </x:c>
      <x:c r="F15" t="str">
        <x:v>三条轴线分别为NS-05、NS-03、NS-07</x:v>
      </x:c>
    </x:row>
    <x:row r="16">
      <x:c r="A16" t="str">
        <x:v>2026-08-08</x:v>
      </x:c>
      <x:c r="B16" t="str">
        <x:v>Codex</x:v>
      </x:c>
      <x:c r="C16" t="str">
        <x:v>补录安化门、启夏门及4条城门—道路连接关系</x:v>
      </x:c>
      <x:c r="D16" t="str">
        <x:v>第1批小型样例</x:v>
      </x:c>
      <x:c r="E16" t="str">
        <x:v>人工审核新增关系并扩充其余外郭城门</x:v>
      </x:c>
      <x:c r="F16" t="str">
        <x:v>连接关系来自图15；两条道路仍使用项目暂名</x:v>
      </x:c>
    </x:row>
    <x:row r="17">
      <x:c r="A17" t="str">
        <x:v>2026-08-09</x:v>
      </x:c>
      <x:c r="B17" t="str">
        <x:v>Codex</x:v>
      </x:c>
      <x:c r="C17" t="str">
        <x:v>新增坊内平面规则表与研究结论表，补充转换和代码规则并重排页签</x:v>
      </x:c>
      <x:c r="D17" t="str">
        <x:v>阶段二模板 / 第1批小型样例</x:v>
      </x:c>
      <x:c r="E17" t="str">
        <x:v>用3—5篇道路宽度论文试录字段</x:v>
      </x:c>
      <x:c r="F17" t="str">
        <x:v>基础事实与研究解释分层存储</x:v>
      </x:c>
    </x:row>
    <x:row r="18">
      <x:c r="A18" t="str">
        <x:v>2026-08-10</x:v>
      </x:c>
      <x:c r="B18" t="str">
        <x:v>Codex</x:v>
      </x:c>
      <x:c r="C18" t="str">
        <x:v>完成相关论文12篇初筛，确定道路宽度专题首批5篇</x:v>
      </x:c>
      <x:c r="D18" t="str">
        <x:v>道路宽度专题_论文筛选清单_v1.md</x:v>
      </x:c>
      <x:c r="E18" t="str">
        <x:v>精读贺从容、张小娟并试录研究结论</x:v>
      </x:c>
      <x:c r="F18" t="str">
        <x:v>防火、绿化、基础设施材料仅作辅助证据</x:v>
      </x:c>
    </x:row>
    <x:row r="19">
      <x:c r="A19" t="str">
        <x:v>2026-08-10</x:v>
      </x:c>
      <x:c r="B19" t="str">
        <x:v>Codex</x:v>
      </x:c>
      <x:c r="C19" t="str">
        <x:v>完成李瑞论文首轮精读并试录6条研究结论</x:v>
      </x:c>
      <x:c r="D19" t="str">
        <x:v>阶段二录入模板 / 李瑞2005精读说明</x:v>
      </x:c>
      <x:c r="E19" t="str">
        <x:v>人工审核6条结论，再精读贺从容和张小娟</x:v>
      </x:c>
      <x:c r="F19" t="str">
        <x:v>评价性观点与基础事实分开保存</x:v>
      </x:c>
    </x:row>
    <x:row r="20">
      <x:c r="A20" t="str">
        <x:v>2026-08-10</x:v>
      </x:c>
      <x:c r="B20" t="str">
        <x:v>Codex</x:v>
      </x:c>
      <x:c r="C20" t="str">
        <x:v>完成贺从容论文精读并试录坊内规则和研究结论</x:v>
      </x:c>
      <x:c r="D20" t="str">
        <x:v>阶段二录入模板 / 贺从容精读说明</x:v>
      </x:c>
      <x:c r="E20" t="str">
        <x:v>人工审核后精读张小娟</x:v>
      </x:c>
      <x:c r="F20" t="str">
        <x:v>十六分区与宽度推测均保留限制</x:v>
      </x:c>
    </x:row>
    <x:row r="21">
      <x:c r="A21" t="str">
        <x:v>2026-08-10</x:v>
      </x:c>
      <x:c r="B21" t="str">
        <x:v>Codex</x:v>
      </x:c>
      <x:c r="C21" t="str">
        <x:v>完成张小娟论文精读、交叉验证与试录</x:v>
      </x:c>
      <x:c r="D21" t="str">
        <x:v>阶段二录入模板 / 张小娟精读说明</x:v>
      </x:c>
      <x:c r="E21" t="str">
        <x:v>人工审核后进行三篇核心论文字段评估</x:v>
      </x:c>
      <x:c r="F21" t="str">
        <x:v>道路数量冲突暂不修改；两类坊内模型保留适用限制</x:v>
      </x:c>
    </x:row>
    <x:row r="22">
      <x:c r="A22" t="str">
        <x:v>2026-08-10</x:v>
      </x:c>
      <x:c r="B22" t="str">
        <x:v>Codex</x:v>
      </x:c>
      <x:c r="C22" t="str">
        <x:v>完成三篇论文试录数据迁移与编号整理</x:v>
      </x:c>
      <x:c r="D22" t="str">
        <x:v>小型样例表 / 正式录入模板 / 项目看板</x:v>
      </x:c>
      <x:c r="E22" t="str">
        <x:v>审核张小娟并开展三篇论文字段小结</x:v>
      </x:c>
      <x:c r="F22" t="str">
        <x:v>片段编号改为1000、1100、1200段，正式模板不再存放论文试录</x:v>
      </x:c>
    </x:row>
    <x:row r="23" ht="40" customHeight="1">
      <x:c r="A23" s="217" t="n">
        <x:v>46245</x:v>
      </x:c>
      <x:c r="B23" s="216" t="str">
        <x:v>Codex</x:v>
      </x:c>
      <x:c r="C23" s="216" t="str">
        <x:v>建立首条科普问答及7条证据关联，完成三层闭环试录</x:v>
      </x:c>
      <x:c r="D23" s="216" t="str">
        <x:v>小型样例表 / 项目看板</x:v>
      </x:c>
      <x:c r="E23" s="216" t="str">
        <x:v>人工审核科普文字、依据角色和公开范围</x:v>
      </x:c>
      <x:c r="F23" s="216" t="str">
        <x:v>未修改空白正式模板；全部标记待审核</x:v>
      </x:c>
    </x:row>
    <x:row r="24" ht="40" customHeight="1">
      <x:c r="A24" s="217" t="n">
        <x:v>46245</x:v>
      </x:c>
      <x:c r="B24" s="216" t="str">
        <x:v>Codex</x:v>
      </x:c>
      <x:c r="C24" s="216" t="str">
        <x:v>完成平台只读盘点，形成保留、替换、新增及六步实施清单</x:v>
      </x:c>
      <x:c r="D24" s="216" t="str">
        <x:v>平台迁移盘点与实施清单v1 / 项目看板</x:v>
      </x:c>
      <x:c r="E24" s="216" t="str">
        <x:v>确定唐长安平台数据契约v1</x:v>
      </x:c>
      <x:c r="F24" s="216" t="str">
        <x:v>平台代码未修改；发现一个百度云同步临时文件并保持不动</x:v>
      </x:c>
    </x:row>
    <x:row r="25" ht="40" customHeight="1">
      <x:c r="A25" s="217" t="n">
        <x:v>46245</x:v>
      </x:c>
      <x:c r="B25" s="216" t="str">
        <x:v>Codex</x:v>
      </x:c>
      <x:c r="C25" s="216" t="str">
        <x:v>完成平台数据契约v1，确定四类数据、三层标识、状态映射和导入顺序</x:v>
      </x:c>
      <x:c r="D25" s="216" t="str">
        <x:v>平台数据契约v1 / 导入包结构示例v1 / 项目看板</x:v>
      </x:c>
      <x:c r="E25" s="216" t="str">
        <x:v>编写小型样例Excel转换程序</x:v>
      </x:c>
      <x:c r="F25" s="216" t="str">
        <x:v>v1优先兼容现有数据库；不自动发布数据</x:v>
      </x:c>
    </x:row>
    <x:row r="26" ht="40" customHeight="1">
      <x:c r="A26" s="217" t="n">
        <x:v>46245</x:v>
      </x:c>
      <x:c r="B26" s="216" t="str">
        <x:v>Codex</x:v>
      </x:c>
      <x:c r="C26" s="216" t="str">
        <x:v>完成Excel转换程序、首个真实导入包和校验报告</x:v>
      </x:c>
      <x:c r="D26" s="216" t="str">
        <x:v>转换程序 / 平台导入包 / 项目看板</x:v>
      </x:c>
      <x:c r="E26" s="216" t="str">
        <x:v>人工复核后在测试数据库首次导入</x:v>
      </x:c>
      <x:c r="F26" s="216" t="str">
        <x:v>UUID稳定；0悬空关系；科普样例保持待审核</x:v>
      </x:c>
    </x:row>
    <x:row r="27" ht="40" customHeight="1">
      <x:c r="A27" s="217" t="n">
        <x:v>46245</x:v>
      </x:c>
      <x:c r="B27" s="216" t="str">
        <x:v>Codex</x:v>
      </x:c>
      <x:c r="C27" s="216" t="str">
        <x:v>完成人工复核并形成问题清单</x:v>
      </x:c>
      <x:c r="D27" s="216" t="str">
        <x:v>人工复核报告 / 复核问题JSON / 项目看板</x:v>
      </x:c>
      <x:c r="E27" s="216" t="str">
        <x:v>修正7项问题后重新生成并复核</x:v>
      </x:c>
      <x:c r="F27" s="216" t="str">
        <x:v>结构通过；人工复核退回；2项P0、5项P1</x:v>
      </x:c>
    </x:row>
    <x:row r="28" ht="40" customHeight="1">
      <x:c r="A28" s="217" t="n">
        <x:v>46245</x:v>
      </x:c>
      <x:c r="B28" s="216" t="str">
        <x:v>Codex</x:v>
      </x:c>
      <x:c r="C28" s="216" t="str">
        <x:v>关闭7项人工复核问题并通过第二轮复核</x:v>
      </x:c>
      <x:c r="D28" s="216" t="str">
        <x:v>小型样例v2 / 转换程序 / 数据契约 / 导入包 / 项目看板</x:v>
      </x:c>
      <x:c r="E28" s="216" t="str">
        <x:v>在测试数据库执行首次导入</x:v>
      </x:c>
      <x:c r="F28" s="216" t="str">
        <x:v>新增RoadNetwork；6条原文片段标记审核通过；0错误、0警告</x:v>
      </x:c>
    </x:row>
    <x:row r="29" ht="40" customHeight="1">
      <x:c r="A29" s="217" t="n">
        <x:v>46246</x:v>
      </x:c>
      <x:c r="B29" s="216" t="str">
        <x:v>Codex</x:v>
      </x:c>
      <x:c r="C29" s="216" t="str">
        <x:v>修正TC-CHUNK-1102证据对象并完成补充复核</x:v>
      </x:c>
      <x:c r="D29" s="216" t="str">
        <x:v>小型样例v3 / 导入包 / 人工复核报告v3 / 项目看板</x:v>
      </x:c>
      <x:c r="E29" s="216" t="str">
        <x:v>在测试数据库执行首次导入</x:v>
      </x:c>
      <x:c r="F29" s="216" t="str">
        <x:v>改连TC-LAYOUT-0005；0错误、0警告</x:v>
      </x:c>
    </x:row>
    <x:row r="30" ht="40" customHeight="1">
      <x:c r="A30" s="217" t="n">
        <x:v>46246</x:v>
      </x:c>
      <x:c r="B30" s="216" t="str">
        <x:v>Codex</x:v>
      </x:c>
      <x:c r="C30" s="216" t="str">
        <x:v>完成隔离测试环境、首次导入和数据库/图谱/检索验收</x:v>
      </x:c>
      <x:c r="D30" s="216" t="str">
        <x:v>测试数据库 / 兼容转换脚本 / 导入报告 / 项目看板</x:v>
      </x:c>
      <x:c r="E30" s="216" t="str">
        <x:v>启动测试API与页面进行界面验收</x:v>
      </x:c>
      <x:c r="F30" s="216" t="str">
        <x:v>重复导入幂等；未发布数据不进入公众搜索；青瓷库未变化</x:v>
      </x:c>
    </x:row>
    <x:row r="31" ht="40" customHeight="1">
      <x:c r="A31" s="217" t="n">
        <x:v>46246</x:v>
      </x:c>
      <x:c r="B31" s="216" t="str">
        <x:v>Codex</x:v>
      </x:c>
      <x:c r="C31" s="216" t="str">
        <x:v>启动唐长安隔离测试平台并完成管理端页面验收</x:v>
      </x:c>
      <x:c r="D31" s="216" t="str">
        <x:v>测试API / 测试网页 / 页面验收报告 / 项目看板</x:v>
      </x:c>
      <x:c r="E31" s="216" t="str">
        <x:v>迁移前端品牌和首页数据逻辑</x:v>
      </x:c>
      <x:c r="F31" s="216" t="str">
        <x:v>管理端数据正确；前台仍是青瓷主题；来源题名待去重判断</x:v>
      </x:c>
    </x:row>
    <x:row r="32" ht="40" customHeight="1">
      <x:c r="A32" s="217" t="n">
        <x:v>46246</x:v>
      </x:c>
      <x:c r="B32" s="216" t="str">
        <x:v>Codex</x:v>
      </x:c>
      <x:c r="C32" s="216" t="str">
        <x:v>完成唐长安前端换壳、实时统计和公开数据安全验收</x:v>
      </x:c>
      <x:c r="D32" s="216" t="str">
        <x:v>平台前端 / API / 验收报告 / 项目看板</x:v>
      </x:c>
      <x:c r="E32" s="216" t="str">
        <x:v>选定并执行首次小型测试发布</x:v>
      </x:c>
      <x:c r="F32" s="216" t="str">
        <x:v>48/32/6/29实时一致；7项测试通过；未发布数据未公开</x:v>
      </x:c>
    </x:row>
    <x:row r="33" ht="44" customHeight="1">
      <x:c r="A33" s="217" t="n">
        <x:v>46246</x:v>
      </x:c>
      <x:c r="B33" s="216" t="str">
        <x:v>Codex</x:v>
      </x:c>
      <x:c r="C33" s="216" t="str">
        <x:v>完成选择性发布、依赖保护、公开图谱与检索同步及证据回溯验收</x:v>
      </x:c>
      <x:c r="D33" s="216" t="str">
        <x:v>隔离测试平台 / 首次小型测试发布报告 / 项目看板</x:v>
      </x:c>
      <x:c r="E33" s="216" t="str">
        <x:v>人工复核公众呈现并确定第二批发布范围</x:v>
      </x:c>
      <x:c r="F33" s="216" t="str">
        <x:v>发布v1：2实体、1关系、1来源、2片段；4个检索文档；其余记录未变</x:v>
      </x:c>
    </x:row>
    <x:row r="34" ht="44" customHeight="1">
      <x:c r="A34" s="217" t="n">
        <x:v>46246</x:v>
      </x:c>
      <x:c r="B34" s="216" t="str">
        <x:v>用户 / Codex</x:v>
      </x:c>
      <x:c r="C34" s="216" t="str">
        <x:v>首次小型发布人工审核通过，图谱连接与公众呈现确认无误</x:v>
      </x:c>
      <x:c r="D34" s="216" t="str">
        <x:v>公众检索 / 知识图谱 / 发布报告 / 项目看板</x:v>
      </x:c>
      <x:c r="E34" s="216" t="str">
        <x:v>筛选第二批可发布的证据闭环</x:v>
      </x:c>
      <x:c r="F34" s="216" t="str">
        <x:v>继续保持先审核、后发布；本次未新增公开记录</x:v>
      </x:c>
    </x:row>
    <x:row r="35" ht="44" customHeight="1">
      <x:c r="A35" s="217" t="n">
        <x:v>46246</x:v>
      </x:c>
      <x:c r="B35" s="216" t="str">
        <x:v>Codex</x:v>
      </x:c>
      <x:c r="C35" s="216" t="str">
        <x:v>完成第二批4个候选闭环筛选与依赖核对</x:v>
      </x:c>
      <x:c r="D35" s="216" t="str">
        <x:v>隔离测试数据库 / 第二批平台发布候选清单v1 / 项目看板</x:v>
      </x:c>
      <x:c r="E35" s="216" t="str">
        <x:v>人工确认4个闭环后执行第二批发布</x:v>
      </x:c>
      <x:c r="F35" s="216" t="str">
        <x:v>8实体、4关系、4片段；同一已公开来源；尚未新增公开记录</x:v>
      </x:c>
    </x:row>
    <x:row r="36" ht="44" customHeight="1">
      <x:c r="A36" s="217" t="n">
        <x:v>46246</x:v>
      </x:c>
      <x:c r="B36" s="216" t="str">
        <x:v>Codex</x:v>
      </x:c>
      <x:c r="C36" s="216" t="str">
        <x:v>完成第二批4个坊内道路规则闭环发布与公众端验收</x:v>
      </x:c>
      <x:c r="D36" s="216" t="str">
        <x:v>发布版本v2 / 公开图谱 / 检索索引 / 第二批平台发布报告v1</x:v>
      </x:c>
      <x:c r="E36" s="216" t="str">
        <x:v>人工抽查后确定正式迁移优先级</x:v>
      </x:c>
      <x:c r="F36" s="216" t="str">
        <x:v>8实体、4关系、4片段发布；索引摘要改为自然语言；其余数据未变</x:v>
      </x:c>
    </x:row>
    <x:row r="37" ht="44" customHeight="1">
      <x:c r="A37" s="217" t="n">
        <x:v>46246</x:v>
      </x:c>
      <x:c r="B37" s="216" t="str">
        <x:v>Codex</x:v>
      </x:c>
      <x:c r="C37" s="216" t="str">
        <x:v>同步小型样例的实体表与关系表</x:v>
      </x:c>
      <x:c r="D37" s="216" t="str">
        <x:v>小型样例v4 / 转换程序</x:v>
      </x:c>
      <x:c r="E37" s="216" t="str">
        <x:v>人工抽查v4新增记录</x:v>
      </x:c>
      <x:c r="F37" s="216" t="str">
        <x:v>补写25实体、22关系；转换验证为48实体、32关系、0错误、0警告</x:v>
      </x:c>
    </x:row>
    <x:row r="38" ht="44" customHeight="1">
      <x:c r="A38" s="217" t="n">
        <x:v>46246</x:v>
      </x:c>
      <x:c r="B38" s="216" t="str">
        <x:v>Codex</x:v>
      </x:c>
      <x:c r="C38" s="216" t="str">
        <x:v>完成专题关系反向审计、补写与转换程序修正</x:v>
      </x:c>
      <x:c r="D38" s="216" t="str">
        <x:v>小型样例v5 / 转换程序 / 校验报告</x:v>
      </x:c>
      <x:c r="E38" s="216" t="str">
        <x:v>人工抽查11条新增关系</x:v>
      </x:c>
      <x:c r="F38" s="216" t="str">
        <x:v>补写11关系；48实体、43关系；0错误；11条不完整记录阻断警告</x:v>
      </x:c>
    </x:row>
    <x:row r="39">
      <x:c r="A39" t="str">
        <x:v>2026-08-12</x:v>
      </x:c>
      <x:c r="B39" t="str">
        <x:v>用户 / Codex</x:v>
      </x:c>
      <x:c r="C39" t="str">
        <x:v>审核通过11条专题关系，完成第三批空间基础事实发布、索引同步与网页验收</x:v>
      </x:c>
      <x:c r="D39" t="str">
        <x:v>小型样例v6 / 平台导入包v2 / 发布版本v3 / 网页验收报告v1 / 项目看板</x:v>
      </x:c>
      <x:c r="E39" t="str">
        <x:v>补齐3项P0结构数据后升级提取Skill并进入正式全量迁移</x:v>
      </x:c>
      <x:c r="F39" t="str">
        <x:v>公开21实体、16关系、2来源、12片段；搜索索引33文档；工作清单已按任务编号重排</x:v>
      </x:c>
    </x:row>
    <x:row r="40">
      <x:c r="A40" t="str">
        <x:v>2026-08-12</x:v>
      </x:c>
      <x:c r="B40" t="str">
        <x:v>Codex</x:v>
      </x:c>
      <x:c r="C40" t="str">
        <x:v>补齐正式迁移前3项P0结构缺口，并发现、修正平康坊空间方向错误</x:v>
      </x:c>
      <x:c r="D40" t="str">
        <x:v>小型样例v7 / 平台导入包v3 / P0结构补全说明v1 / 项目看板</x:v>
      </x:c>
      <x:c r="E40" t="str">
        <x:v>人工审核外郭城归属、永安渠六坊和两坊空间关系；通过后升级提取Skill</x:v>
      </x:c>
      <x:c r="F40" t="str">
        <x:v>新增9实体、14关系、1来源、2片段；57实体/62关系；0错误、0警告；未导入平台</x:v>
      </x:c>
    </x:row>
    <x:row r="41">
      <x:c r="A41" t="str">
        <x:v>2026-08-12</x:v>
      </x:c>
      <x:c r="B41" t="str">
        <x:v>用户 / Codex</x:v>
      </x:c>
      <x:c r="C41" t="str">
        <x:v>核对ROAD-0004/0009与坊功能area，修正x=±3坊列为第二街与第三街之间，并补齐双边界关系</x:v>
      </x:c>
      <x:c r="D41" t="str">
        <x:v>小型样例v8 / 平台导入包v4 / P0结构补全说明v1 / 项目看板</x:v>
      </x:c>
      <x:c r="E41" t="str">
        <x:v>只需人工复核本轮area和边界关系；通过后执行平台导入并升级提取Skill</x:v>
      </x:c>
      <x:c r="F41" t="str">
        <x:v>新增2道路实体、14坊—道路关系、1解释片段；59实体/77关系；0错误、0警告；未导入平台</x:v>
      </x:c>
    </x:row>
    <x:row r="42">
      <x:c r="A42" t="str">
        <x:v>2026-08-12</x:v>
      </x:c>
      <x:c r="B42" t="str">
        <x:v>用户 / Codex</x:v>
      </x:c>
      <x:c r="C42" t="str">
        <x:v>审核通过P0修正，完成第四批白名单导入、选择性发布、检索索引和网页图谱验收</x:v>
      </x:c>
      <x:c r="D42" t="str">
        <x:v>小型样例v9 / 平台导入包v5 / 发布版本v4 / 第四批平台发布与网页验收报告v1 / 项目看板</x:v>
      </x:c>
      <x:c r="E42" t="str">
        <x:v>升级knowledge-graph-extraction Skill，并用v9执行回归测试</x:v>
      </x:c>
      <x:c r="F42" t="str">
        <x:v>总库59实体/77关系/7来源/32片段；公开39实体/50关系/4来源/19片段；结构0错误、0警告</x:v>
      </x:c>
    </x:row>
    <x:row r="43">
      <x:c r="A43" t="str">
        <x:v>2026-08-12</x:v>
      </x:c>
      <x:c r="B43" t="str">
        <x:v>Codex</x:v>
      </x:c>
      <x:c r="C43" t="str">
        <x:v>升级并打包knowledge-graph-extraction v2，完成v9规则回归检查</x:v>
      </x:c>
      <x:c r="D43" t="str">
        <x:v>06-Skill/knowledge-graph-extraction / knowledge-graph-extraction-v2.skill / 项目看板</x:v>
      </x:c>
      <x:c r="E43" t="str">
        <x:v>进入阶段七全量提取，按团队分工选择下一批资料</x:v>
      </x:c>
      <x:c r="F43" t="str">
        <x:v>固化专题表转换、三层知识、双边界道路、证据依赖、审核白名单和网页验收规则</x:v>
      </x:c>
    </x:row>
    <x:row r="44">
      <x:c r="A44" t="str">
        <x:v>2026-08-12</x:v>
      </x:c>
      <x:c r="B44" t="str">
        <x:v>用户 / Codex</x:v>
      </x:c>
      <x:c r="C44" t="str">
        <x:v>补发RoadNetwork实体及8条研究结论关系，完成公众图谱验收</x:v>
      </x:c>
      <x:c r="D44" t="str">
        <x:v>小型样例v10 / 平台导入包v6 / 发布版本v5 / 第五批发布报告v1</x:v>
      </x:c>
      <x:c r="E44" t="str">
        <x:v>人工查看RoadNetwork图谱后进入全量提取</x:v>
      </x:c>
      <x:c r="F44" t="str">
        <x:v>公开48实体/58关系/6来源/27片段；RoadNetwork为9节点/8关系；科普候选仍未审核</x:v>
      </x:c>
    </x:row>
    <x:row r="45">
      <x:c r="A45" t="str">
        <x:v>2026-08-12</x:v>
      </x:c>
      <x:c r="B45" t="str">
        <x:v>用户 / Codex</x:v>
      </x:c>
      <x:c r="C45" t="str">
        <x:v>修复第四个“空间知识检索”按钮不可用及搜索页状态不同步问题，并完成生产构建与网页验收</x:v>
      </x:c>
      <x:c r="D45" t="str">
        <x:v>唐长安测试平台前端 / 项目看板</x:v>
      </x:c>
      <x:c r="E45" t="str">
        <x:v>确认平台呈现后进入阶段七全量提取</x:v>
      </x:c>
      <x:c r="F45" t="str">
        <x:v>第四按钮现进入?q=长安；第五按钮仍为SourceChunk证据检索；数据库未改动</x:v>
      </x:c>
    </x:row>
    <x:row r="46">
      <x:c r="A46" t="str">
        <x:v>2026-08-12</x:v>
      </x:c>
      <x:c r="B46" t="str">
        <x:v>用户 / Codex</x:v>
      </x:c>
      <x:c r="C46" t="str">
        <x:v>将知识提取Skill升级为v3，加入多人按文献分工、专题复核和集中合并规范，并打包完整协作资产</x:v>
      </x:c>
      <x:c r="D46" t="str">
        <x:v>knowledge-graph-extraction-v3.skill / 项目看板</x:v>
      </x:c>
      <x:c r="E46" t="str">
        <x:v>填写任务分配与编号段后，先让每位同事完成一个小批次</x:v>
      </x:c>
      <x:c r="F46" t="str">
        <x:v>包内含正式模板、v10稳定样例、协作登记模板；个人批次不得直接发布</x:v>
      </x:c>
    </x:row>
    <x:row r="47">
      <x:c r="A47" t="str">
        <x:v>2026-08-13</x:v>
      </x:c>
      <x:c r="B47" t="str">
        <x:v>用户 / Codex</x:v>
      </x:c>
      <x:c r="C47" t="str">
        <x:v>将同事表中的108坊和25条道路导入主实体登记表，并完成可直接转发的多人全量提取操作手册</x:v>
      </x:c>
      <x:c r="D47" t="str">
        <x:v>协作登记模板 / 操作手册v1 / knowledge-graph-extraction-v3.skill</x:v>
      </x:c>
      <x:c r="E47" t="str">
        <x:v>填写任务和编号段后，安排每人一个小批次试运行</x:v>
      </x:c>
      <x:c r="F47" t="str">
        <x:v>133项均为待补字段；仅锁定公共编号，不进入正式实体表或自动审核</x:v>
      </x:c>
    </x:row>
    <x:row r="48">
      <x:c r="A48" t="str">
        <x:v>2026-08-13</x:v>
      </x:c>
      <x:c r="B48" t="str">
        <x:v>用户 / Codex</x:v>
      </x:c>
      <x:c r="C48" t="str">
        <x:v>为两人全量提取设计并写入千位分区编号方案</x:v>
      </x:c>
      <x:c r="D48" t="str">
        <x:v>协作登记模板_两人编号段版 / Skill v3 / 项目看板</x:v>
      </x:c>
      <x:c r="E48" t="str">
        <x:v>在任务分配表中安排两人的首篇试运行文献</x:v>
      </x:c>
      <x:c r="F48" t="str">
        <x:v>成员A使用2000段、成员B使用3000段；公共坊/道路复用原编号；自动关系不人工分配</x:v>
      </x:c>
    </x:row>
    <x:row r="49" ht="44" customHeight="1">
      <x:c r="A49" s="217" t="str">
        <x:v>2026-08-13</x:v>
      </x:c>
      <x:c r="B49" s="216" t="str">
        <x:v>用户 / Codex</x:v>
      </x:c>
      <x:c r="C49" s="216" t="str">
        <x:v>更新多人协作 Skill、参考规范、操作手册和看板，并整理两人协作包</x:v>
      </x:c>
      <x:c r="D49" s="216" t="str">
        <x:v>07-协作包/唐长安城知识图谱_两人协作包_v2_20260813</x:v>
      </x:c>
      <x:c r="E49" s="216" t="str">
        <x:v>两人各领取一篇试运行文献，按公共编号复用并提交审核</x:v>
      </x:c>
      <x:c r="F49" s="216" t="str">
        <x:v>协作登记表现有176个公共对象；新增43项均为待补字段，功能规则仅锁定编号和名称</x:v>
      </x:c>
    </x:row>
    <x:row r="50" ht="44" customHeight="1">
      <x:c r="A50" s="217" t="str">
        <x:v>2026-08-13</x:v>
      </x:c>
      <x:c r="B50" s="216" t="str">
        <x:v>用户 / Codex</x:v>
      </x:c>
      <x:c r="C50" s="216" t="str">
        <x:v>将两人协作方案升级为三人制：成员A负责人，成员B、C协作者；新增C的4000编号段</x:v>
      </x:c>
      <x:c r="D50" s="216" t="str">
        <x:v>07-协作包/唐长安城知识图谱_三人协作包_v1_20260813</x:v>
      </x:c>
      <x:c r="E50" s="216" t="str">
        <x:v>由A为三人安排首篇试运行文献，B/C分别按文献完成批次</x:v>
      </x:c>
      <x:c r="F50" s="216" t="str">
        <x:v>公共对象仍为176个；新增C来源0400段、片段/关系4000段、新实体4000—4499</x:v>
      </x:c>
    </x:row>
  </x:sheetData>
  <x:mergeCells>
    <x:mergeCell ref="A1:F1"/>
    <x:mergeCell ref="A2:F2"/>
  </x:mergeCells>
  <x:pageMargins left="0.7" right="0.7" top="0.75" bottom="0.75" header="0.3" footer="0.3"/>
</x:worksheet>
</file>